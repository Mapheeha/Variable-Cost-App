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pheeha.chauke\Desktop\Cost Simulation Models\"/>
    </mc:Choice>
  </mc:AlternateContent>
  <xr:revisionPtr revIDLastSave="0" documentId="13_ncr:1_{6D6DC31C-1602-45F9-9A72-ABBDD5F99822}" xr6:coauthVersionLast="47" xr6:coauthVersionMax="47" xr10:uidLastSave="{00000000-0000-0000-0000-000000000000}"/>
  <bookViews>
    <workbookView xWindow="22932" yWindow="-108" windowWidth="30936" windowHeight="16896" xr2:uid="{6FA68E23-C146-4C97-B5CD-22AEFFB7518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F278" i="1"/>
  <c r="F279" i="1"/>
  <c r="F280" i="1"/>
  <c r="F281" i="1"/>
  <c r="G281" i="1" s="1"/>
  <c r="F282" i="1"/>
  <c r="G282" i="1" s="1"/>
  <c r="F283" i="1"/>
  <c r="G283" i="1" s="1"/>
  <c r="F284" i="1"/>
  <c r="F285" i="1"/>
  <c r="F286" i="1"/>
  <c r="F287" i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F294" i="1"/>
  <c r="G294" i="1" s="1"/>
  <c r="F295" i="1"/>
  <c r="G295" i="1" s="1"/>
  <c r="F296" i="1"/>
  <c r="G296" i="1" s="1"/>
  <c r="F297" i="1"/>
  <c r="G297" i="1" s="1"/>
  <c r="F298" i="1"/>
  <c r="F299" i="1"/>
  <c r="F300" i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F310" i="1"/>
  <c r="F311" i="1"/>
  <c r="F312" i="1"/>
  <c r="F313" i="1"/>
  <c r="G313" i="1" s="1"/>
  <c r="F314" i="1"/>
  <c r="G314" i="1" s="1"/>
  <c r="F315" i="1"/>
  <c r="G315" i="1" s="1"/>
  <c r="F316" i="1"/>
  <c r="F317" i="1"/>
  <c r="F318" i="1"/>
  <c r="F319" i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F326" i="1"/>
  <c r="G326" i="1" s="1"/>
  <c r="F327" i="1"/>
  <c r="G327" i="1" s="1"/>
  <c r="F328" i="1"/>
  <c r="G328" i="1" s="1"/>
  <c r="F329" i="1"/>
  <c r="G329" i="1" s="1"/>
  <c r="F330" i="1"/>
  <c r="F331" i="1"/>
  <c r="F332" i="1"/>
  <c r="G277" i="1"/>
  <c r="G278" i="1"/>
  <c r="G279" i="1"/>
  <c r="G280" i="1"/>
  <c r="G284" i="1"/>
  <c r="G285" i="1"/>
  <c r="G286" i="1"/>
  <c r="G287" i="1"/>
  <c r="G293" i="1"/>
  <c r="G298" i="1"/>
  <c r="G299" i="1"/>
  <c r="G300" i="1"/>
  <c r="G309" i="1"/>
  <c r="G310" i="1"/>
  <c r="G311" i="1"/>
  <c r="G312" i="1"/>
  <c r="G316" i="1"/>
  <c r="G317" i="1"/>
  <c r="G318" i="1"/>
  <c r="G319" i="1"/>
  <c r="G325" i="1"/>
  <c r="G330" i="1"/>
  <c r="G331" i="1"/>
  <c r="G332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F260" i="1"/>
  <c r="F261" i="1"/>
  <c r="F262" i="1"/>
  <c r="F263" i="1"/>
  <c r="F264" i="1"/>
  <c r="F265" i="1"/>
  <c r="F266" i="1"/>
  <c r="F267" i="1"/>
  <c r="G267" i="1" s="1"/>
  <c r="F268" i="1"/>
  <c r="G268" i="1" s="1"/>
  <c r="F269" i="1"/>
  <c r="G269" i="1" s="1"/>
  <c r="F270" i="1"/>
  <c r="F271" i="1"/>
  <c r="G271" i="1" s="1"/>
  <c r="G260" i="1"/>
  <c r="G261" i="1"/>
  <c r="G262" i="1"/>
  <c r="G263" i="1"/>
  <c r="G264" i="1"/>
  <c r="G265" i="1"/>
  <c r="G266" i="1"/>
  <c r="G270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</calcChain>
</file>

<file path=xl/sharedStrings.xml><?xml version="1.0" encoding="utf-8"?>
<sst xmlns="http://schemas.openxmlformats.org/spreadsheetml/2006/main" count="602" uniqueCount="570">
  <si>
    <t>Sunday, 08 May 2022</t>
  </si>
  <si>
    <t>Date</t>
  </si>
  <si>
    <t>OB (T)</t>
  </si>
  <si>
    <t>ROM (T)</t>
  </si>
  <si>
    <t>Con rate (l/t)</t>
  </si>
  <si>
    <t xml:space="preserve">Con rate (l/t) Budget </t>
  </si>
  <si>
    <t>OB (T) Budget</t>
  </si>
  <si>
    <t>ROM (T) Budget</t>
  </si>
  <si>
    <t>Quantity (l)</t>
  </si>
  <si>
    <t>Quantity (l) Budget</t>
  </si>
  <si>
    <t>Price (R/l)</t>
  </si>
  <si>
    <t>Price (R/l) Budget</t>
  </si>
  <si>
    <t>Diesel (R)</t>
  </si>
  <si>
    <t>Diesel (R) Budget</t>
  </si>
  <si>
    <t>Sunday, 27 March 2022</t>
  </si>
  <si>
    <t>Friday, 24 June 2022</t>
  </si>
  <si>
    <t>Tuesday, 26 July 2022</t>
  </si>
  <si>
    <t>Wednesday, 04 May 2022</t>
  </si>
  <si>
    <t>Wednesday, 16 February 2022</t>
  </si>
  <si>
    <t>Thursday, 01 September 2022</t>
  </si>
  <si>
    <t>Sunday, 28 August 2022</t>
  </si>
  <si>
    <t>Saturday, 18 June 2022</t>
  </si>
  <si>
    <t>Sunday, 17 April 2022</t>
  </si>
  <si>
    <t>Thursday, 23 June 2022</t>
  </si>
  <si>
    <t>Friday, 05 August 2022</t>
  </si>
  <si>
    <t>Monday, 27 June 2022</t>
  </si>
  <si>
    <t>Wednesday, 10 August 2022</t>
  </si>
  <si>
    <t>Friday, 14 January 2022</t>
  </si>
  <si>
    <t>Friday, 13 May 2022</t>
  </si>
  <si>
    <t>Thursday, 21 July 2022</t>
  </si>
  <si>
    <t>Friday, 22 April 2022</t>
  </si>
  <si>
    <t>Saturday, 09 April 2022</t>
  </si>
  <si>
    <t>Saturday, 02 July 2022</t>
  </si>
  <si>
    <t>Thursday, 31 March 2022</t>
  </si>
  <si>
    <t>Sunday, 06 February 2022</t>
  </si>
  <si>
    <t>Sunday, 09 January 2022</t>
  </si>
  <si>
    <t>Thursday, 27 January 2022</t>
  </si>
  <si>
    <t>Wednesday, 13 April 2022</t>
  </si>
  <si>
    <t>Sunday, 11 September 2022</t>
  </si>
  <si>
    <t>Saturday, 30 April 2022</t>
  </si>
  <si>
    <t>Saturday, 23 July 2022</t>
  </si>
  <si>
    <t>Friday, 20 May 2022</t>
  </si>
  <si>
    <t>Monday, 29 August 2022</t>
  </si>
  <si>
    <t>Monday, 23 May 2022</t>
  </si>
  <si>
    <t>Monday, 09 May 2022</t>
  </si>
  <si>
    <t>Sunday, 07 August 2022</t>
  </si>
  <si>
    <t>Monday, 28 March 2022</t>
  </si>
  <si>
    <t>Sunday, 27 February 2022</t>
  </si>
  <si>
    <t>Saturday, 22 January 2022</t>
  </si>
  <si>
    <t>Sunday, 24 April 2022</t>
  </si>
  <si>
    <t>Monday, 04 April 2022</t>
  </si>
  <si>
    <t>Tuesday, 18 January 2022</t>
  </si>
  <si>
    <t>Sunday, 20 February 2022</t>
  </si>
  <si>
    <t>Thursday, 02 June 2022</t>
  </si>
  <si>
    <t>Monday, 13 June 2022</t>
  </si>
  <si>
    <t>Thursday, 06 January 2022</t>
  </si>
  <si>
    <t>Friday, 11 March 2022</t>
  </si>
  <si>
    <t>Thursday, 18 August 2022</t>
  </si>
  <si>
    <t>Friday, 04 March 2022</t>
  </si>
  <si>
    <t>Friday, 11 February 2022</t>
  </si>
  <si>
    <t>Sunday, 14 August 2022</t>
  </si>
  <si>
    <t>Tuesday, 12 April 2022</t>
  </si>
  <si>
    <t>Thursday, 03 February 2022</t>
  </si>
  <si>
    <t>Wednesday, 17 August 2022</t>
  </si>
  <si>
    <t>Tuesday, 15 February 2022</t>
  </si>
  <si>
    <t>Wednesday, 22 June 2022</t>
  </si>
  <si>
    <t>Saturday, 19 February 2022</t>
  </si>
  <si>
    <t>Friday, 25 March 2022</t>
  </si>
  <si>
    <t>Saturday, 25 June 2022</t>
  </si>
  <si>
    <t>Saturday, 12 February 2022</t>
  </si>
  <si>
    <t>Monday, 11 July 2022</t>
  </si>
  <si>
    <t>Thursday, 28 April 2022</t>
  </si>
  <si>
    <t>Tuesday, 30 August 2022</t>
  </si>
  <si>
    <t>Saturday, 12 March 2022</t>
  </si>
  <si>
    <t>Tuesday, 04 January 2022</t>
  </si>
  <si>
    <t>Sunday, 05 June 2022</t>
  </si>
  <si>
    <t>Friday, 15 July 2022</t>
  </si>
  <si>
    <t>Sunday, 31 July 2022</t>
  </si>
  <si>
    <t>Monday, 07 February 2022</t>
  </si>
  <si>
    <t>Saturday, 19 March 2022</t>
  </si>
  <si>
    <t>Tuesday, 26 April 2022</t>
  </si>
  <si>
    <t>Friday, 22 July 2022</t>
  </si>
  <si>
    <t>Thursday, 14 April 2022</t>
  </si>
  <si>
    <t>Monday, 24 January 2022</t>
  </si>
  <si>
    <t>Tuesday, 19 April 2022</t>
  </si>
  <si>
    <t>Thursday, 04 August 2022</t>
  </si>
  <si>
    <t>Wednesday, 14 September 2022</t>
  </si>
  <si>
    <t>Thursday, 28 July 2022</t>
  </si>
  <si>
    <t>Monday, 11 April 2022</t>
  </si>
  <si>
    <t>Monday, 21 February 2022</t>
  </si>
  <si>
    <t>Wednesday, 24 August 2022</t>
  </si>
  <si>
    <t>Saturday, 16 April 2022</t>
  </si>
  <si>
    <t>Sunday, 30 January 2022</t>
  </si>
  <si>
    <t>Sunday, 13 March 2022</t>
  </si>
  <si>
    <t>Monday, 25 April 2022</t>
  </si>
  <si>
    <t>Sunday, 16 January 2022</t>
  </si>
  <si>
    <t>Saturday, 03 September 2022</t>
  </si>
  <si>
    <t>Thursday, 25 August 2022</t>
  </si>
  <si>
    <t>Monday, 02 May 2022</t>
  </si>
  <si>
    <t>Tuesday, 24 May 2022</t>
  </si>
  <si>
    <t>Friday, 21 January 2022</t>
  </si>
  <si>
    <t>Tuesday, 01 March 2022</t>
  </si>
  <si>
    <t>Tuesday, 09 August 2022</t>
  </si>
  <si>
    <t>Friday, 12 August 2022</t>
  </si>
  <si>
    <t>Friday, 18 March 2022</t>
  </si>
  <si>
    <t>Friday, 19 August 2022</t>
  </si>
  <si>
    <t>Thursday, 03 March 2022</t>
  </si>
  <si>
    <t>Sunday, 10 April 2022</t>
  </si>
  <si>
    <t>Tuesday, 11 January 2022</t>
  </si>
  <si>
    <t>Sunday, 23 January 2022</t>
  </si>
  <si>
    <t>Tuesday, 08 March 2022</t>
  </si>
  <si>
    <t>Friday, 07 January 2022</t>
  </si>
  <si>
    <t>Wednesday, 23 February 2022</t>
  </si>
  <si>
    <t>Tuesday, 16 August 2022</t>
  </si>
  <si>
    <t>Monday, 07 March 2022</t>
  </si>
  <si>
    <t>Wednesday, 05 January 2022</t>
  </si>
  <si>
    <t>Saturday, 27 August 2022</t>
  </si>
  <si>
    <t>Friday, 10 June 2022</t>
  </si>
  <si>
    <t>Tuesday, 07 June 2022</t>
  </si>
  <si>
    <t>Saturday, 04 June 2022</t>
  </si>
  <si>
    <t>Wednesday, 06 April 2022</t>
  </si>
  <si>
    <t>Tuesday, 28 June 2022</t>
  </si>
  <si>
    <t>Saturday, 11 June 2022</t>
  </si>
  <si>
    <t>Friday, 18 February 2022</t>
  </si>
  <si>
    <t>Wednesday, 02 March 2022</t>
  </si>
  <si>
    <t>Saturday, 26 February 2022</t>
  </si>
  <si>
    <t>Wednesday, 20 April 2022</t>
  </si>
  <si>
    <t>Tuesday, 13 September 2022</t>
  </si>
  <si>
    <t>Sunday, 17 July 2022</t>
  </si>
  <si>
    <t>Sunday, 10 July 2022</t>
  </si>
  <si>
    <t>Tuesday, 12 July 2022</t>
  </si>
  <si>
    <t>Monday, 28 February 2022</t>
  </si>
  <si>
    <t>Monday, 10 January 2022</t>
  </si>
  <si>
    <t>Saturday, 07 May 2022</t>
  </si>
  <si>
    <t>Tuesday, 15 March 2022</t>
  </si>
  <si>
    <t>Saturday, 20 August 2022</t>
  </si>
  <si>
    <t>Wednesday, 06 July 2022</t>
  </si>
  <si>
    <t>Sunday, 04 September 2022</t>
  </si>
  <si>
    <t>Tuesday, 22 March 2022</t>
  </si>
  <si>
    <t>Saturday, 02 April 2022</t>
  </si>
  <si>
    <t>Wednesday, 20 July 2022</t>
  </si>
  <si>
    <t>Thursday, 26 May 2022</t>
  </si>
  <si>
    <t>Sunday, 21 August 2022</t>
  </si>
  <si>
    <t>Monday, 01 August 2022</t>
  </si>
  <si>
    <t>Wednesday, 27 July 2022</t>
  </si>
  <si>
    <t>Friday, 28 January 2022</t>
  </si>
  <si>
    <t>Thursday, 07 July 2022</t>
  </si>
  <si>
    <t>Saturday, 06 August 2022</t>
  </si>
  <si>
    <t>Sunday, 03 April 2022</t>
  </si>
  <si>
    <t>Tuesday, 31 May 2022</t>
  </si>
  <si>
    <t>Sunday, 06 March 2022</t>
  </si>
  <si>
    <t>Thursday, 07 April 2022</t>
  </si>
  <si>
    <t>Monday, 30 May 2022</t>
  </si>
  <si>
    <t>Thursday, 16 June 2022</t>
  </si>
  <si>
    <t>Friday, 08 April 2022</t>
  </si>
  <si>
    <t>Thursday, 05 May 2022</t>
  </si>
  <si>
    <t>Tuesday, 21 June 2022</t>
  </si>
  <si>
    <t>Wednesday, 07 September 2022</t>
  </si>
  <si>
    <t>Tuesday, 29 March 2022</t>
  </si>
  <si>
    <t>Saturday, 13 August 2022</t>
  </si>
  <si>
    <t>Sunday, 01 May 2022</t>
  </si>
  <si>
    <t>Sunday, 13 February 2022</t>
  </si>
  <si>
    <t>Thursday, 24 March 2022</t>
  </si>
  <si>
    <t>Friday, 09 September 2022</t>
  </si>
  <si>
    <t>Friday, 25 February 2022</t>
  </si>
  <si>
    <t>Saturday, 29 January 2022</t>
  </si>
  <si>
    <t>Monday, 08 August 2022</t>
  </si>
  <si>
    <t>Sunday, 02 January 2022</t>
  </si>
  <si>
    <t>Tuesday, 05 April 2022</t>
  </si>
  <si>
    <t>Friday, 04 February 2022</t>
  </si>
  <si>
    <t>Friday, 15 April 2022</t>
  </si>
  <si>
    <t>Saturday, 26 March 2022</t>
  </si>
  <si>
    <t>Wednesday, 23 March 2022</t>
  </si>
  <si>
    <t>Thursday, 20 January 2022</t>
  </si>
  <si>
    <t>Wednesday, 30 March 2022</t>
  </si>
  <si>
    <t>Sunday, 03 July 2022</t>
  </si>
  <si>
    <t>Friday, 29 April 2022</t>
  </si>
  <si>
    <t>Friday, 08 July 2022</t>
  </si>
  <si>
    <t>Wednesday, 01 June 2022</t>
  </si>
  <si>
    <t>Tuesday, 25 January 2022</t>
  </si>
  <si>
    <t>Friday, 02 September 2022</t>
  </si>
  <si>
    <t>Sunday, 29 May 2022</t>
  </si>
  <si>
    <t>Saturday, 10 September 2022</t>
  </si>
  <si>
    <t>Thursday, 10 February 2022</t>
  </si>
  <si>
    <t>Wednesday, 13 July 2022</t>
  </si>
  <si>
    <t>Saturday, 16 July 2022</t>
  </si>
  <si>
    <t>Monday, 31 January 2022</t>
  </si>
  <si>
    <t>Thursday, 10 March 2022</t>
  </si>
  <si>
    <t>Monday, 20 June 2022</t>
  </si>
  <si>
    <t>Monday, 22 August 2022</t>
  </si>
  <si>
    <t>Tuesday, 10 May 2022</t>
  </si>
  <si>
    <t>Monday, 04 July 2022</t>
  </si>
  <si>
    <t>Friday, 01 April 2022</t>
  </si>
  <si>
    <t>Thursday, 17 March 2022</t>
  </si>
  <si>
    <t>Tuesday, 08 February 2022</t>
  </si>
  <si>
    <t>Monday, 15 August 2022</t>
  </si>
  <si>
    <t>Wednesday, 02 February 2022</t>
  </si>
  <si>
    <t>Friday, 27 May 2022</t>
  </si>
  <si>
    <t>Wednesday, 19 January 2022</t>
  </si>
  <si>
    <t>Saturday, 15 January 2022</t>
  </si>
  <si>
    <t>Thursday, 21 April 2022</t>
  </si>
  <si>
    <t>Wednesday, 09 February 2022</t>
  </si>
  <si>
    <t>Thursday, 15 September 2022</t>
  </si>
  <si>
    <t>Wednesday, 31 August 2022</t>
  </si>
  <si>
    <t>Saturday, 23 April 2022</t>
  </si>
  <si>
    <t>Saturday, 05 February 2022</t>
  </si>
  <si>
    <t>Wednesday, 29 June 2022</t>
  </si>
  <si>
    <t>Monday, 18 April 2022</t>
  </si>
  <si>
    <t>Monday, 17 January 2022</t>
  </si>
  <si>
    <t>Wednesday, 11 May 2022</t>
  </si>
  <si>
    <t>Sunday, 22 May 2022</t>
  </si>
  <si>
    <t>Wednesday, 08 June 2022</t>
  </si>
  <si>
    <t>Thursday, 11 August 2022</t>
  </si>
  <si>
    <t>Saturday, 01 January 2022</t>
  </si>
  <si>
    <t>Thursday, 12 May 2022</t>
  </si>
  <si>
    <t>Monday, 18 July 2022</t>
  </si>
  <si>
    <t>Tuesday, 02 August 2022</t>
  </si>
  <si>
    <t>Wednesday, 18 May 2022</t>
  </si>
  <si>
    <t>Monday, 21 March 2022</t>
  </si>
  <si>
    <t>Tuesday, 14 June 2022</t>
  </si>
  <si>
    <t>Wednesday, 16 March 2022</t>
  </si>
  <si>
    <t>Tuesday, 19 July 2022</t>
  </si>
  <si>
    <t>Monday, 25 July 2022</t>
  </si>
  <si>
    <t>Saturday, 21 May 2022</t>
  </si>
  <si>
    <t>Monday, 14 February 2022</t>
  </si>
  <si>
    <t>Saturday, 08 January 2022</t>
  </si>
  <si>
    <t>Friday, 29 July 2022</t>
  </si>
  <si>
    <t>Saturday, 14 May 2022</t>
  </si>
  <si>
    <t>Tuesday, 17 May 2022</t>
  </si>
  <si>
    <t>Monday, 05 September 2022</t>
  </si>
  <si>
    <t>Monday, 16 May 2022</t>
  </si>
  <si>
    <t>Monday, 03 January 2022</t>
  </si>
  <si>
    <t>Saturday, 28 May 2022</t>
  </si>
  <si>
    <t>Monday, 14 March 2022</t>
  </si>
  <si>
    <t>Tuesday, 23 August 2022</t>
  </si>
  <si>
    <t>Saturday, 30 July 2022</t>
  </si>
  <si>
    <t>Sunday, 12 June 2022</t>
  </si>
  <si>
    <t>Thursday, 24 February 2022</t>
  </si>
  <si>
    <t>Tuesday, 03 May 2022</t>
  </si>
  <si>
    <t>Thursday, 14 July 2022</t>
  </si>
  <si>
    <t>Thursday, 19 May 2022</t>
  </si>
  <si>
    <t>Thursday, 17 February 2022</t>
  </si>
  <si>
    <t>Saturday, 09 July 2022</t>
  </si>
  <si>
    <t>Sunday, 20 March 2022</t>
  </si>
  <si>
    <t>Wednesday, 25 May 2022</t>
  </si>
  <si>
    <t>Wednesday, 12 January 2022</t>
  </si>
  <si>
    <t>Saturday, 05 March 2022</t>
  </si>
  <si>
    <t>Friday, 26 August 2022</t>
  </si>
  <si>
    <t>Friday, 17 June 2022</t>
  </si>
  <si>
    <t>Thursday, 30 June 2022</t>
  </si>
  <si>
    <t>Tuesday, 05 July 2022</t>
  </si>
  <si>
    <t>Sunday, 26 June 2022</t>
  </si>
  <si>
    <t>Thursday, 08 September 2022</t>
  </si>
  <si>
    <t>Tuesday, 22 February 2022</t>
  </si>
  <si>
    <t>Wednesday, 03 August 2022</t>
  </si>
  <si>
    <t>Wednesday, 27 April 2022</t>
  </si>
  <si>
    <t>Sunday, 24 July 2022</t>
  </si>
  <si>
    <t>Wednesday, 26 January 2022</t>
  </si>
  <si>
    <t>Wednesday, 09 March 2022</t>
  </si>
  <si>
    <t>Monday, 12 September 2022</t>
  </si>
  <si>
    <t>Thursday, 13 January 2022</t>
  </si>
  <si>
    <t>Friday, 06 May 2022</t>
  </si>
  <si>
    <t>Sunday, 15 May 2022</t>
  </si>
  <si>
    <t>Tuesday, 06 September 2022</t>
  </si>
  <si>
    <t>Thursday, 09 June 2022</t>
  </si>
  <si>
    <t>Friday, 01 July 2022</t>
  </si>
  <si>
    <t>Sunday, 19 June 2022</t>
  </si>
  <si>
    <t>Tuesday, 01 February 2022</t>
  </si>
  <si>
    <t>Friday, 03 June 2022</t>
  </si>
  <si>
    <t>Wednesday, 15 June 2022</t>
  </si>
  <si>
    <t>Monday, 06 June 2022</t>
  </si>
  <si>
    <t>21.27</t>
  </si>
  <si>
    <t>21.88</t>
  </si>
  <si>
    <t>18.32</t>
  </si>
  <si>
    <t>20.91</t>
  </si>
  <si>
    <t>18.79</t>
  </si>
  <si>
    <t>22.95</t>
  </si>
  <si>
    <t>19.66</t>
  </si>
  <si>
    <t>17.91</t>
  </si>
  <si>
    <t>18.63</t>
  </si>
  <si>
    <t>20.75</t>
  </si>
  <si>
    <t>24.31</t>
  </si>
  <si>
    <t>23.41</t>
  </si>
  <si>
    <t>20.36</t>
  </si>
  <si>
    <t>17.84</t>
  </si>
  <si>
    <t>21.44</t>
  </si>
  <si>
    <t>24.51</t>
  </si>
  <si>
    <t>20.12</t>
  </si>
  <si>
    <t>23.29</t>
  </si>
  <si>
    <t>24.02</t>
  </si>
  <si>
    <t>21.92</t>
  </si>
  <si>
    <t>23.76</t>
  </si>
  <si>
    <t>20.47</t>
  </si>
  <si>
    <t>22.58</t>
  </si>
  <si>
    <t>24.21</t>
  </si>
  <si>
    <t>19.11</t>
  </si>
  <si>
    <t>23.22</t>
  </si>
  <si>
    <t>24.44</t>
  </si>
  <si>
    <t>21.56</t>
  </si>
  <si>
    <t>17.66</t>
  </si>
  <si>
    <t>22.19</t>
  </si>
  <si>
    <t>20.14</t>
  </si>
  <si>
    <t>19.94</t>
  </si>
  <si>
    <t>24.08</t>
  </si>
  <si>
    <t>23.47</t>
  </si>
  <si>
    <t>20.52</t>
  </si>
  <si>
    <t>24.67</t>
  </si>
  <si>
    <t>23.58</t>
  </si>
  <si>
    <t>18.74</t>
  </si>
  <si>
    <t>21.82</t>
  </si>
  <si>
    <t>22.69</t>
  </si>
  <si>
    <t>24.11</t>
  </si>
  <si>
    <t>19.71</t>
  </si>
  <si>
    <t>24.32</t>
  </si>
  <si>
    <t>18.57</t>
  </si>
  <si>
    <t>19.33</t>
  </si>
  <si>
    <t>22.91</t>
  </si>
  <si>
    <t>24.75</t>
  </si>
  <si>
    <t>19.46</t>
  </si>
  <si>
    <t>21.22</t>
  </si>
  <si>
    <t>19.02</t>
  </si>
  <si>
    <t>20.73</t>
  </si>
  <si>
    <t>24.23</t>
  </si>
  <si>
    <t>18.91</t>
  </si>
  <si>
    <t>23.37</t>
  </si>
  <si>
    <t>21.41</t>
  </si>
  <si>
    <t>17.99</t>
  </si>
  <si>
    <t>23.12</t>
  </si>
  <si>
    <t>21.09</t>
  </si>
  <si>
    <t>19.76</t>
  </si>
  <si>
    <t>21.32</t>
  </si>
  <si>
    <t>23.48</t>
  </si>
  <si>
    <t>20.89</t>
  </si>
  <si>
    <t>24.14</t>
  </si>
  <si>
    <t>22.81</t>
  </si>
  <si>
    <t>19.88</t>
  </si>
  <si>
    <t>24.62</t>
  </si>
  <si>
    <t>18.47</t>
  </si>
  <si>
    <t>19.27</t>
  </si>
  <si>
    <t>24.36</t>
  </si>
  <si>
    <t>20.44</t>
  </si>
  <si>
    <t>22.13</t>
  </si>
  <si>
    <t>23.53</t>
  </si>
  <si>
    <t>23.72</t>
  </si>
  <si>
    <t>24.27</t>
  </si>
  <si>
    <t>19.39</t>
  </si>
  <si>
    <t>21.11</t>
  </si>
  <si>
    <t>24.18</t>
  </si>
  <si>
    <t>17.88</t>
  </si>
  <si>
    <t>23.85</t>
  </si>
  <si>
    <t>19.63</t>
  </si>
  <si>
    <t>18.54</t>
  </si>
  <si>
    <t>24.65</t>
  </si>
  <si>
    <t>19.16</t>
  </si>
  <si>
    <t>24.73</t>
  </si>
  <si>
    <t>21.36</t>
  </si>
  <si>
    <t>22.53</t>
  </si>
  <si>
    <t>18.72</t>
  </si>
  <si>
    <t>24.09</t>
  </si>
  <si>
    <t>19.73</t>
  </si>
  <si>
    <t>24.48</t>
  </si>
  <si>
    <t>21.84</t>
  </si>
  <si>
    <t>23.07</t>
  </si>
  <si>
    <t>24.61</t>
  </si>
  <si>
    <t>20.32</t>
  </si>
  <si>
    <t>19.48</t>
  </si>
  <si>
    <t>23.68</t>
  </si>
  <si>
    <t>21.58</t>
  </si>
  <si>
    <t>24.29</t>
  </si>
  <si>
    <t>24.12</t>
  </si>
  <si>
    <t>19.84</t>
  </si>
  <si>
    <t>23.15</t>
  </si>
  <si>
    <t>19.21</t>
  </si>
  <si>
    <t>24.39</t>
  </si>
  <si>
    <t>18.36</t>
  </si>
  <si>
    <t>23.74</t>
  </si>
  <si>
    <t>23.28</t>
  </si>
  <si>
    <t>20.58</t>
  </si>
  <si>
    <t>24.71</t>
  </si>
  <si>
    <t>23.91</t>
  </si>
  <si>
    <t>21.49</t>
  </si>
  <si>
    <t>20.29</t>
  </si>
  <si>
    <t>24.34</t>
  </si>
  <si>
    <t>21.72</t>
  </si>
  <si>
    <t>20.61</t>
  </si>
  <si>
    <t>17.95</t>
  </si>
  <si>
    <t>24.57</t>
  </si>
  <si>
    <t>23.33</t>
  </si>
  <si>
    <t>18.41</t>
  </si>
  <si>
    <t>23.44</t>
  </si>
  <si>
    <t>20.72</t>
  </si>
  <si>
    <t>24.49</t>
  </si>
  <si>
    <t>19.81</t>
  </si>
  <si>
    <t>23.89</t>
  </si>
  <si>
    <t>21.63</t>
  </si>
  <si>
    <t>24.33</t>
  </si>
  <si>
    <t>19.93</t>
  </si>
  <si>
    <t>20.77</t>
  </si>
  <si>
    <t>24.28</t>
  </si>
  <si>
    <t>19.36</t>
  </si>
  <si>
    <t>21.94</t>
  </si>
  <si>
    <t>22.87</t>
  </si>
  <si>
    <t>21.73</t>
  </si>
  <si>
    <t>24.19</t>
  </si>
  <si>
    <t>18.92</t>
  </si>
  <si>
    <t>22.64</t>
  </si>
  <si>
    <t>21.16</t>
  </si>
  <si>
    <t>20.48</t>
  </si>
  <si>
    <t>23.92</t>
  </si>
  <si>
    <t>18.37</t>
  </si>
  <si>
    <t>19.14</t>
  </si>
  <si>
    <t>22.79</t>
  </si>
  <si>
    <t>23.51</t>
  </si>
  <si>
    <t>19.57</t>
  </si>
  <si>
    <t>23.18</t>
  </si>
  <si>
    <t>21.47</t>
  </si>
  <si>
    <t>18.22</t>
  </si>
  <si>
    <t>22.55</t>
  </si>
  <si>
    <t>22.11</t>
  </si>
  <si>
    <t>23.66</t>
  </si>
  <si>
    <t>17.93</t>
  </si>
  <si>
    <t>19.45</t>
  </si>
  <si>
    <t>21.26</t>
  </si>
  <si>
    <t>22.38</t>
  </si>
  <si>
    <t>21.95</t>
  </si>
  <si>
    <t>23.04</t>
  </si>
  <si>
    <t>17.72</t>
  </si>
  <si>
    <t>20.69</t>
  </si>
  <si>
    <t>19.17</t>
  </si>
  <si>
    <t>23.98</t>
  </si>
  <si>
    <t>21.52</t>
  </si>
  <si>
    <t>18.69</t>
  </si>
  <si>
    <t>19.86</t>
  </si>
  <si>
    <t>22.93</t>
  </si>
  <si>
    <t>21.37</t>
  </si>
  <si>
    <t>23.62</t>
  </si>
  <si>
    <t>17.64</t>
  </si>
  <si>
    <t>20.22</t>
  </si>
  <si>
    <t>23.55</t>
  </si>
  <si>
    <t>22.72</t>
  </si>
  <si>
    <t>23.83</t>
  </si>
  <si>
    <t>24.52</t>
  </si>
  <si>
    <t>19.29</t>
  </si>
  <si>
    <t>21.66</t>
  </si>
  <si>
    <t>18.95</t>
  </si>
  <si>
    <t>19.07</t>
  </si>
  <si>
    <t>21.23</t>
  </si>
  <si>
    <t>23.96</t>
  </si>
  <si>
    <t>24.68</t>
  </si>
  <si>
    <t>19.52</t>
  </si>
  <si>
    <t>21.83</t>
  </si>
  <si>
    <t>24.26</t>
  </si>
  <si>
    <t>22.35</t>
  </si>
  <si>
    <t>21.04</t>
  </si>
  <si>
    <t>17.57</t>
  </si>
  <si>
    <t>20.49</t>
  </si>
  <si>
    <t>21.91</t>
  </si>
  <si>
    <t>24.45</t>
  </si>
  <si>
    <t>19.25</t>
  </si>
  <si>
    <t>23.08</t>
  </si>
  <si>
    <t>17.68</t>
  </si>
  <si>
    <t>20.93</t>
  </si>
  <si>
    <t>23.69</t>
  </si>
  <si>
    <t>21.18</t>
  </si>
  <si>
    <t>19.59</t>
  </si>
  <si>
    <t>22.97</t>
  </si>
  <si>
    <t>17.81</t>
  </si>
  <si>
    <t>19.08</t>
  </si>
  <si>
    <t>24.54</t>
  </si>
  <si>
    <t>19.92</t>
  </si>
  <si>
    <t>21.97</t>
  </si>
  <si>
    <t>17.94</t>
  </si>
  <si>
    <t>20.06</t>
  </si>
  <si>
    <t>21.34</t>
  </si>
  <si>
    <t>18.53</t>
  </si>
  <si>
    <t>22.78</t>
  </si>
  <si>
    <t>23.05</t>
  </si>
  <si>
    <t>17.62</t>
  </si>
  <si>
    <t>20.18</t>
  </si>
  <si>
    <t>21.89</t>
  </si>
  <si>
    <t>18.71</t>
  </si>
  <si>
    <t>24.07</t>
  </si>
  <si>
    <t>22.63</t>
  </si>
  <si>
    <t>17.86</t>
  </si>
  <si>
    <t>19.26</t>
  </si>
  <si>
    <t>21.28</t>
  </si>
  <si>
    <t>24.25</t>
  </si>
  <si>
    <t>22.44</t>
  </si>
  <si>
    <t>17.75</t>
  </si>
  <si>
    <t>24.59</t>
  </si>
  <si>
    <t>20.83</t>
  </si>
  <si>
    <t>23.14</t>
  </si>
  <si>
    <t>24.22</t>
  </si>
  <si>
    <t>19.64</t>
  </si>
  <si>
    <t>21.31</t>
  </si>
  <si>
    <t>23.46</t>
  </si>
  <si>
    <t>17.98</t>
  </si>
  <si>
    <t>20.11</t>
  </si>
  <si>
    <t>19.23</t>
  </si>
  <si>
    <t>23.79</t>
  </si>
  <si>
    <t>18.62</t>
  </si>
  <si>
    <t>19.43</t>
  </si>
  <si>
    <t>22.52</t>
  </si>
  <si>
    <t>21.67</t>
  </si>
  <si>
    <t>17.73</t>
  </si>
  <si>
    <t>24.53</t>
  </si>
  <si>
    <t>20.95</t>
  </si>
  <si>
    <t>18.84</t>
  </si>
  <si>
    <t>19.05</t>
  </si>
  <si>
    <t>17.89</t>
  </si>
  <si>
    <t>24.47</t>
  </si>
  <si>
    <t>19.42</t>
  </si>
  <si>
    <t>21.74</t>
  </si>
  <si>
    <t>18.48</t>
  </si>
  <si>
    <t>24.16</t>
  </si>
  <si>
    <t>19.38</t>
  </si>
  <si>
    <t>22.71</t>
  </si>
  <si>
    <t>23.57</t>
  </si>
  <si>
    <t>17.96</t>
  </si>
  <si>
    <t>19.51</t>
  </si>
  <si>
    <t>18.67</t>
  </si>
  <si>
    <t>23.49</t>
  </si>
  <si>
    <t>17.85</t>
  </si>
  <si>
    <t>24.41</t>
  </si>
  <si>
    <t>20.27</t>
  </si>
  <si>
    <t>19.34</t>
  </si>
  <si>
    <t>23.97</t>
  </si>
  <si>
    <t>21.17</t>
  </si>
  <si>
    <t>23.26</t>
  </si>
  <si>
    <t>24.56</t>
  </si>
  <si>
    <t>19.79</t>
  </si>
  <si>
    <t>21.57</t>
  </si>
  <si>
    <t>18.59</t>
  </si>
  <si>
    <t>22.82</t>
  </si>
  <si>
    <t>21.25</t>
  </si>
  <si>
    <t>17.83</t>
  </si>
  <si>
    <t>23.31</t>
  </si>
  <si>
    <t>18.33</t>
  </si>
  <si>
    <t>19.32</t>
  </si>
  <si>
    <t>22.99</t>
  </si>
  <si>
    <t>21.43</t>
  </si>
  <si>
    <t>23.38</t>
  </si>
  <si>
    <t>17.76</t>
  </si>
  <si>
    <t>24.74</t>
  </si>
  <si>
    <t>19.87</t>
  </si>
  <si>
    <t>18.98</t>
  </si>
  <si>
    <t>24.35</t>
  </si>
  <si>
    <t>22.28</t>
  </si>
  <si>
    <t>21.79</t>
  </si>
  <si>
    <t>17.92</t>
  </si>
  <si>
    <t>24.17</t>
  </si>
  <si>
    <t>20.16</t>
  </si>
  <si>
    <t>19.65</t>
  </si>
  <si>
    <t>21.54</t>
  </si>
  <si>
    <t>18.46</t>
  </si>
  <si>
    <t>21.05</t>
  </si>
  <si>
    <t>23.24</t>
  </si>
  <si>
    <t>17.63</t>
  </si>
  <si>
    <t>24.58</t>
  </si>
  <si>
    <t>19.47</t>
  </si>
  <si>
    <t>18.88</t>
  </si>
  <si>
    <t>24.13</t>
  </si>
  <si>
    <t>22.61</t>
  </si>
  <si>
    <t>17.71</t>
  </si>
  <si>
    <t>19.12</t>
  </si>
  <si>
    <t>23.75</t>
  </si>
  <si>
    <t>21.39</t>
  </si>
  <si>
    <t>18.55</t>
  </si>
  <si>
    <t>22.56</t>
  </si>
  <si>
    <t>21.29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</si>
</sst>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2"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78D64-BC5D-43D9-B000-D66B107C32A1}" name="Table1" displayName="Table1" ref="A1:M332" totalsRowShown="0">
  <autoFilter ref="A1:M332" xr:uid="{98178D64-BC5D-43D9-B000-D66B107C32A1}"/>
  <tableColumns count="13">
    <tableColumn id="1" xr3:uid="{666ACEBB-793F-4D64-9FEC-9A97D00FE044}" name="Date" dataDxfId="11"/>
    <tableColumn id="2" xr3:uid="{B48AF19A-F303-49A9-B822-A5024DD73268}" name="Con rate (l/t)" dataDxfId="10"/>
    <tableColumn id="5" xr3:uid="{9D029EEC-63AD-4767-9904-6D73A0216E79}" name="Con rate (l/t) Budget " dataDxfId="9">
      <calculatedColumnFormula>B2*0.2</calculatedColumnFormula>
    </tableColumn>
    <tableColumn id="3" xr3:uid="{D220334C-6BC7-4E42-800C-A304D9F8AB81}" name="OB (T)" dataDxfId="8"/>
    <tableColumn id="6" xr3:uid="{011C8076-D5D9-4872-BAC4-C2DC39D14C8A}" name="OB (T) Budget" dataDxfId="7">
      <calculatedColumnFormula>D2*0.3</calculatedColumnFormula>
    </tableColumn>
    <tableColumn id="7" xr3:uid="{FEDEECD3-7E4F-42EE-9AD1-4BDB32EAEB74}" name="ROM (T)" dataDxfId="6">
      <calculatedColumnFormula>D2/4</calculatedColumnFormula>
    </tableColumn>
    <tableColumn id="4" xr3:uid="{0B85B7EE-962C-4C65-BAFD-340FC4E186A0}" name="ROM (T) Budget" dataDxfId="5">
      <calculatedColumnFormula>F2*0.2</calculatedColumnFormula>
    </tableColumn>
    <tableColumn id="9" xr3:uid="{2AB04F68-C32E-4410-AA59-A572BAD34F17}" name="Quantity (l)" dataDxfId="4"/>
    <tableColumn id="10" xr3:uid="{1D561F3E-F2E2-49C1-97DE-E1F745F7E32D}" name="Quantity (l) Budget" dataDxfId="2">
      <calculatedColumnFormula>H2*0.5</calculatedColumnFormula>
    </tableColumn>
    <tableColumn id="11" xr3:uid="{8FD8F6A9-EBC6-4957-A04F-93DDB3B74420}" name="Price (R/l)" dataDxfId="0">
      <calculatedColumnFormula xml:space="preserve"> Table1[[#This Row],[Diesel (R)]]</calculatedColumnFormula>
    </tableColumn>
    <tableColumn id="12" xr3:uid="{4B2AC28D-4D66-4622-A5D9-B7B85E8A82AE}" name="Price (R/l) Budget" dataDxfId="1">
      <calculatedColumnFormula xml:space="preserve"> Table1[[#This Row],[Diesel (R) Budget]]</calculatedColumnFormula>
    </tableColumn>
    <tableColumn id="13" xr3:uid="{CD792BF7-1AB9-4170-975B-3D9B21AEC271}" name="Diesel (R)" dataDxfId="3"/>
    <tableColumn id="14" xr3:uid="{0AC0EA83-0D46-4A1A-B2AB-8C1841BA4EE9}" name="Diesel (R) 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DD4A-F7C0-4280-A400-8AC11607F8F3}">
  <dimension ref="A1:M332"/>
  <sheetViews>
    <sheetView tabSelected="1" zoomScale="80" zoomScaleNormal="80" workbookViewId="0">
      <selection activeCell="J30" sqref="J30"/>
    </sheetView>
  </sheetViews>
  <sheetFormatPr defaultColWidth="22.44140625" defaultRowHeight="14.4" x14ac:dyDescent="0.3"/>
  <cols>
    <col min="1" max="1" width="29.109375" style="1" customWidth="1"/>
    <col min="2" max="2" width="29.109375" style="2" customWidth="1"/>
    <col min="3" max="9" width="22.44140625" style="2"/>
    <col min="12" max="12" width="22.44140625" style="2"/>
  </cols>
  <sheetData>
    <row r="1" spans="1:13" x14ac:dyDescent="0.3">
      <c r="A1" s="1" t="s">
        <v>1</v>
      </c>
      <c r="B1" s="2" t="s">
        <v>4</v>
      </c>
      <c r="C1" s="2" t="s">
        <v>5</v>
      </c>
      <c r="D1" s="2" t="s">
        <v>2</v>
      </c>
      <c r="E1" s="2" t="s">
        <v>6</v>
      </c>
      <c r="F1" s="2" t="s">
        <v>3</v>
      </c>
      <c r="G1" s="2" t="s">
        <v>7</v>
      </c>
      <c r="H1" s="2" t="s">
        <v>8</v>
      </c>
      <c r="I1" s="2" t="s">
        <v>9</v>
      </c>
      <c r="J1" t="s">
        <v>10</v>
      </c>
      <c r="K1" t="s">
        <v>11</v>
      </c>
      <c r="L1" s="2" t="s">
        <v>12</v>
      </c>
      <c r="M1" t="s">
        <v>13</v>
      </c>
    </row>
    <row r="2" spans="1:13" x14ac:dyDescent="0.3">
      <c r="A2" t="s">
        <v>0</v>
      </c>
      <c r="B2" s="2">
        <v>0.29516456319002854</v>
      </c>
      <c r="C2" s="2">
        <f t="shared" ref="C2:C65" si="0">B2*0.2</f>
        <v>5.9032912638005711E-2</v>
      </c>
      <c r="D2" s="2">
        <v>134143</v>
      </c>
      <c r="E2" s="2">
        <f t="shared" ref="E2:E65" si="1">D2*0.3</f>
        <v>40242.9</v>
      </c>
      <c r="F2" s="2">
        <f t="shared" ref="F2:F65" si="2">D2/4</f>
        <v>33535.75</v>
      </c>
      <c r="G2" s="2">
        <f t="shared" ref="G2:G65" si="3">F2*0.2</f>
        <v>6707.1500000000005</v>
      </c>
      <c r="H2" s="2">
        <v>39594.26</v>
      </c>
      <c r="I2" s="2">
        <f t="shared" ref="I2:I65" si="4">H2*0.5</f>
        <v>19797.13</v>
      </c>
      <c r="J2" s="2">
        <f xml:space="preserve"> Table1[[#This Row],[Diesel (R)]]</f>
        <v>22.14</v>
      </c>
      <c r="K2" t="str">
        <f xml:space="preserve"> Table1[[#This Row],[Diesel (R) Budget]]</f>
        <v>23.41</v>
      </c>
      <c r="L2" s="2">
        <v>22.14</v>
      </c>
      <c r="M2" t="s">
        <v>282</v>
      </c>
    </row>
    <row r="3" spans="1:13" x14ac:dyDescent="0.3">
      <c r="A3" t="s">
        <v>14</v>
      </c>
      <c r="B3" s="2">
        <v>0.25837845670532728</v>
      </c>
      <c r="C3" s="2">
        <f t="shared" si="0"/>
        <v>5.1675691341065456E-2</v>
      </c>
      <c r="D3" s="2">
        <v>172527</v>
      </c>
      <c r="E3" s="2">
        <f t="shared" si="1"/>
        <v>51758.1</v>
      </c>
      <c r="F3" s="2">
        <f t="shared" si="2"/>
        <v>43131.75</v>
      </c>
      <c r="G3" s="2">
        <f t="shared" si="3"/>
        <v>8626.35</v>
      </c>
      <c r="H3" s="2">
        <v>44577.26</v>
      </c>
      <c r="I3" s="2">
        <f t="shared" si="4"/>
        <v>22288.63</v>
      </c>
      <c r="J3" s="2">
        <f xml:space="preserve"> Table1[[#This Row],[Diesel (R)]]</f>
        <v>23.03</v>
      </c>
      <c r="K3" t="str">
        <f xml:space="preserve"> Table1[[#This Row],[Diesel (R) Budget]]</f>
        <v>20.77</v>
      </c>
      <c r="L3" s="2">
        <v>23.03</v>
      </c>
      <c r="M3" t="s">
        <v>397</v>
      </c>
    </row>
    <row r="4" spans="1:13" x14ac:dyDescent="0.3">
      <c r="A4" t="s">
        <v>15</v>
      </c>
      <c r="B4" s="2">
        <v>0.31763774129275069</v>
      </c>
      <c r="C4" s="2">
        <f t="shared" si="0"/>
        <v>6.3527548258550143E-2</v>
      </c>
      <c r="D4" s="2">
        <v>140027</v>
      </c>
      <c r="E4" s="2">
        <f t="shared" si="1"/>
        <v>42008.1</v>
      </c>
      <c r="F4" s="2">
        <f t="shared" si="2"/>
        <v>35006.75</v>
      </c>
      <c r="G4" s="2">
        <f t="shared" si="3"/>
        <v>7001.35</v>
      </c>
      <c r="H4" s="2">
        <v>44477.86</v>
      </c>
      <c r="I4" s="2">
        <f t="shared" si="4"/>
        <v>22238.93</v>
      </c>
      <c r="J4" s="2">
        <f xml:space="preserve"> Table1[[#This Row],[Diesel (R)]]</f>
        <v>19.77</v>
      </c>
      <c r="K4" t="str">
        <f xml:space="preserve"> Table1[[#This Row],[Diesel (R) Budget]]</f>
        <v>22.13</v>
      </c>
      <c r="L4" s="2">
        <v>19.77</v>
      </c>
      <c r="M4" t="s">
        <v>341</v>
      </c>
    </row>
    <row r="5" spans="1:13" x14ac:dyDescent="0.3">
      <c r="A5" t="s">
        <v>16</v>
      </c>
      <c r="B5" s="2">
        <v>0.33672387717300795</v>
      </c>
      <c r="C5" s="2">
        <f t="shared" si="0"/>
        <v>6.7344775434601586E-2</v>
      </c>
      <c r="D5" s="2">
        <v>117694</v>
      </c>
      <c r="E5" s="2">
        <f t="shared" si="1"/>
        <v>35308.199999999997</v>
      </c>
      <c r="F5" s="2">
        <f t="shared" si="2"/>
        <v>29423.5</v>
      </c>
      <c r="G5" s="2">
        <f t="shared" si="3"/>
        <v>5884.7000000000007</v>
      </c>
      <c r="H5" s="2">
        <v>39630.379999999997</v>
      </c>
      <c r="I5" s="2">
        <f t="shared" si="4"/>
        <v>19815.189999999999</v>
      </c>
      <c r="J5" s="2">
        <f xml:space="preserve"> Table1[[#This Row],[Diesel (R)]]</f>
        <v>21.88</v>
      </c>
      <c r="K5" t="str">
        <f xml:space="preserve"> Table1[[#This Row],[Diesel (R) Budget]]</f>
        <v>18.54</v>
      </c>
      <c r="L5" s="2">
        <v>21.88</v>
      </c>
      <c r="M5" t="s">
        <v>351</v>
      </c>
    </row>
    <row r="6" spans="1:13" x14ac:dyDescent="0.3">
      <c r="A6" t="s">
        <v>17</v>
      </c>
      <c r="B6" s="2">
        <v>0.4439669453003447</v>
      </c>
      <c r="C6" s="2">
        <f t="shared" si="0"/>
        <v>8.879338906006895E-2</v>
      </c>
      <c r="D6" s="2">
        <v>131116</v>
      </c>
      <c r="E6" s="2">
        <f t="shared" si="1"/>
        <v>39334.799999999996</v>
      </c>
      <c r="F6" s="2">
        <f t="shared" si="2"/>
        <v>32779</v>
      </c>
      <c r="G6" s="2">
        <f t="shared" si="3"/>
        <v>6555.8</v>
      </c>
      <c r="H6" s="2">
        <v>58211.17</v>
      </c>
      <c r="I6" s="2">
        <f t="shared" si="4"/>
        <v>29105.584999999999</v>
      </c>
      <c r="J6" s="2">
        <f xml:space="preserve"> Table1[[#This Row],[Diesel (R)]]</f>
        <v>16.989999999999998</v>
      </c>
      <c r="K6" t="str">
        <f xml:space="preserve"> Table1[[#This Row],[Diesel (R) Budget]]</f>
        <v>24.28</v>
      </c>
      <c r="L6" s="2">
        <v>16.989999999999998</v>
      </c>
      <c r="M6" t="s">
        <v>398</v>
      </c>
    </row>
    <row r="7" spans="1:13" x14ac:dyDescent="0.3">
      <c r="A7" t="s">
        <v>18</v>
      </c>
      <c r="B7" s="2">
        <v>0.36050123600241507</v>
      </c>
      <c r="C7" s="2">
        <f t="shared" si="0"/>
        <v>7.2100247200483011E-2</v>
      </c>
      <c r="D7" s="2">
        <v>175566</v>
      </c>
      <c r="E7" s="2">
        <f t="shared" si="1"/>
        <v>52669.799999999996</v>
      </c>
      <c r="F7" s="2">
        <f t="shared" si="2"/>
        <v>43891.5</v>
      </c>
      <c r="G7" s="2">
        <f t="shared" si="3"/>
        <v>8778.3000000000011</v>
      </c>
      <c r="H7" s="2">
        <v>63291.76</v>
      </c>
      <c r="I7" s="2">
        <f t="shared" si="4"/>
        <v>31645.88</v>
      </c>
      <c r="J7" s="2">
        <f xml:space="preserve"> Table1[[#This Row],[Diesel (R)]]</f>
        <v>23.54</v>
      </c>
      <c r="K7" t="str">
        <f xml:space="preserve"> Table1[[#This Row],[Diesel (R) Budget]]</f>
        <v>19.36</v>
      </c>
      <c r="L7" s="2">
        <v>23.54</v>
      </c>
      <c r="M7" t="s">
        <v>399</v>
      </c>
    </row>
    <row r="8" spans="1:13" x14ac:dyDescent="0.3">
      <c r="A8" s="1" t="s">
        <v>19</v>
      </c>
      <c r="B8" s="2">
        <v>0.32474026851684989</v>
      </c>
      <c r="C8" s="2">
        <f t="shared" si="0"/>
        <v>6.4948053703369979E-2</v>
      </c>
      <c r="D8" s="2">
        <v>133176</v>
      </c>
      <c r="E8" s="2">
        <f t="shared" si="1"/>
        <v>39952.799999999996</v>
      </c>
      <c r="F8" s="2">
        <f t="shared" si="2"/>
        <v>33294</v>
      </c>
      <c r="G8" s="2">
        <f t="shared" si="3"/>
        <v>6658.8</v>
      </c>
      <c r="H8" s="2">
        <v>43247.61</v>
      </c>
      <c r="I8" s="2">
        <f t="shared" si="4"/>
        <v>21623.805</v>
      </c>
      <c r="J8" s="2">
        <f xml:space="preserve"> Table1[[#This Row],[Diesel (R)]]</f>
        <v>22.48</v>
      </c>
      <c r="K8" t="str">
        <f xml:space="preserve"> Table1[[#This Row],[Diesel (R) Budget]]</f>
        <v>21.94</v>
      </c>
      <c r="L8" s="2">
        <v>22.48</v>
      </c>
      <c r="M8" t="s">
        <v>400</v>
      </c>
    </row>
    <row r="9" spans="1:13" x14ac:dyDescent="0.3">
      <c r="A9" t="s">
        <v>20</v>
      </c>
      <c r="B9" s="2">
        <v>0.24901044197019812</v>
      </c>
      <c r="C9" s="2">
        <f t="shared" si="0"/>
        <v>4.9802088394039629E-2</v>
      </c>
      <c r="D9" s="2">
        <v>150259</v>
      </c>
      <c r="E9" s="2">
        <f t="shared" si="1"/>
        <v>45077.7</v>
      </c>
      <c r="F9" s="2">
        <f t="shared" si="2"/>
        <v>37564.75</v>
      </c>
      <c r="G9" s="2">
        <f t="shared" si="3"/>
        <v>7512.9500000000007</v>
      </c>
      <c r="H9" s="2">
        <v>37416.06</v>
      </c>
      <c r="I9" s="2">
        <f t="shared" si="4"/>
        <v>18708.03</v>
      </c>
      <c r="J9" s="2">
        <f xml:space="preserve"> Table1[[#This Row],[Diesel (R)]]</f>
        <v>18.32</v>
      </c>
      <c r="K9" t="str">
        <f xml:space="preserve"> Table1[[#This Row],[Diesel (R) Budget]]</f>
        <v>22.87</v>
      </c>
      <c r="L9" s="2">
        <v>18.32</v>
      </c>
      <c r="M9" t="s">
        <v>401</v>
      </c>
    </row>
    <row r="10" spans="1:13" x14ac:dyDescent="0.3">
      <c r="A10" t="s">
        <v>21</v>
      </c>
      <c r="B10" s="2">
        <v>0.27812775460148981</v>
      </c>
      <c r="C10" s="2">
        <f t="shared" si="0"/>
        <v>5.5625550920297966E-2</v>
      </c>
      <c r="D10" s="2">
        <v>186733</v>
      </c>
      <c r="E10" s="2">
        <f t="shared" si="1"/>
        <v>56019.9</v>
      </c>
      <c r="F10" s="2">
        <f t="shared" si="2"/>
        <v>46683.25</v>
      </c>
      <c r="G10" s="2">
        <f t="shared" si="3"/>
        <v>9336.65</v>
      </c>
      <c r="H10" s="2">
        <v>51935.63</v>
      </c>
      <c r="I10" s="2">
        <f t="shared" si="4"/>
        <v>25967.814999999999</v>
      </c>
      <c r="J10" s="2">
        <f xml:space="preserve"> Table1[[#This Row],[Diesel (R)]]</f>
        <v>20.91</v>
      </c>
      <c r="K10" t="str">
        <f xml:space="preserve"> Table1[[#This Row],[Diesel (R) Budget]]</f>
        <v>17.66</v>
      </c>
      <c r="L10" s="2">
        <v>20.91</v>
      </c>
      <c r="M10" t="s">
        <v>299</v>
      </c>
    </row>
    <row r="11" spans="1:13" x14ac:dyDescent="0.3">
      <c r="A11" t="s">
        <v>22</v>
      </c>
      <c r="B11" s="2">
        <v>0.63529286194695445</v>
      </c>
      <c r="C11" s="2">
        <f t="shared" si="0"/>
        <v>0.12705857238939089</v>
      </c>
      <c r="D11" s="2">
        <v>34197</v>
      </c>
      <c r="E11" s="2">
        <f t="shared" si="1"/>
        <v>10259.1</v>
      </c>
      <c r="F11" s="2">
        <f t="shared" si="2"/>
        <v>8549.25</v>
      </c>
      <c r="G11" s="2">
        <f t="shared" si="3"/>
        <v>1709.8500000000001</v>
      </c>
      <c r="H11" s="2">
        <v>21725.11</v>
      </c>
      <c r="I11" s="2">
        <f t="shared" si="4"/>
        <v>10862.555</v>
      </c>
      <c r="J11" s="2">
        <f xml:space="preserve"> Table1[[#This Row],[Diesel (R)]]</f>
        <v>23.67</v>
      </c>
      <c r="K11" t="str">
        <f xml:space="preserve"> Table1[[#This Row],[Diesel (R) Budget]]</f>
        <v>23.58</v>
      </c>
      <c r="L11" s="2">
        <v>23.67</v>
      </c>
      <c r="M11" t="s">
        <v>307</v>
      </c>
    </row>
    <row r="12" spans="1:13" x14ac:dyDescent="0.3">
      <c r="A12" t="s">
        <v>23</v>
      </c>
      <c r="B12" s="2">
        <v>0.33264803236484003</v>
      </c>
      <c r="C12" s="2">
        <f t="shared" si="0"/>
        <v>6.6529606472968003E-2</v>
      </c>
      <c r="D12" s="2">
        <v>135950</v>
      </c>
      <c r="E12" s="2">
        <f t="shared" si="1"/>
        <v>40785</v>
      </c>
      <c r="F12" s="2">
        <f t="shared" si="2"/>
        <v>33987.5</v>
      </c>
      <c r="G12" s="2">
        <f t="shared" si="3"/>
        <v>6797.5</v>
      </c>
      <c r="H12" s="2">
        <v>45223.5</v>
      </c>
      <c r="I12" s="2">
        <f t="shared" si="4"/>
        <v>22611.75</v>
      </c>
      <c r="J12" s="2">
        <f xml:space="preserve"> Table1[[#This Row],[Diesel (R)]]</f>
        <v>17.52</v>
      </c>
      <c r="K12" t="str">
        <f xml:space="preserve"> Table1[[#This Row],[Diesel (R) Budget]]</f>
        <v>20.29</v>
      </c>
      <c r="L12" s="2">
        <v>17.52</v>
      </c>
      <c r="M12" t="s">
        <v>381</v>
      </c>
    </row>
    <row r="13" spans="1:13" x14ac:dyDescent="0.3">
      <c r="A13" t="s">
        <v>24</v>
      </c>
      <c r="B13" s="2">
        <v>0.30924069410425359</v>
      </c>
      <c r="C13" s="2">
        <f t="shared" si="0"/>
        <v>6.1848138820850718E-2</v>
      </c>
      <c r="D13" s="2">
        <v>115948</v>
      </c>
      <c r="E13" s="2">
        <f t="shared" si="1"/>
        <v>34784.400000000001</v>
      </c>
      <c r="F13" s="2">
        <f t="shared" si="2"/>
        <v>28987</v>
      </c>
      <c r="G13" s="2">
        <f t="shared" si="3"/>
        <v>5797.4000000000005</v>
      </c>
      <c r="H13" s="2">
        <v>35855.839999999997</v>
      </c>
      <c r="I13" s="2">
        <f t="shared" si="4"/>
        <v>17927.919999999998</v>
      </c>
      <c r="J13" s="2">
        <f xml:space="preserve"> Table1[[#This Row],[Diesel (R)]]</f>
        <v>18.79</v>
      </c>
      <c r="K13" t="str">
        <f xml:space="preserve"> Table1[[#This Row],[Diesel (R) Budget]]</f>
        <v>21.73</v>
      </c>
      <c r="L13" s="2">
        <v>18.79</v>
      </c>
      <c r="M13" t="s">
        <v>402</v>
      </c>
    </row>
    <row r="14" spans="1:13" x14ac:dyDescent="0.3">
      <c r="A14" t="s">
        <v>25</v>
      </c>
      <c r="B14" s="2">
        <v>0.2956322557022551</v>
      </c>
      <c r="C14" s="2">
        <f t="shared" si="0"/>
        <v>5.9126451140451022E-2</v>
      </c>
      <c r="D14" s="2">
        <v>139287</v>
      </c>
      <c r="E14" s="2">
        <f t="shared" si="1"/>
        <v>41786.1</v>
      </c>
      <c r="F14" s="2">
        <f t="shared" si="2"/>
        <v>34821.75</v>
      </c>
      <c r="G14" s="2">
        <f t="shared" si="3"/>
        <v>6964.35</v>
      </c>
      <c r="H14" s="2">
        <v>41177.730000000003</v>
      </c>
      <c r="I14" s="2">
        <f t="shared" si="4"/>
        <v>20588.865000000002</v>
      </c>
      <c r="J14" s="2">
        <f xml:space="preserve"> Table1[[#This Row],[Diesel (R)]]</f>
        <v>21.03</v>
      </c>
      <c r="K14" t="str">
        <f xml:space="preserve"> Table1[[#This Row],[Diesel (R) Budget]]</f>
        <v>19.81</v>
      </c>
      <c r="L14" s="2">
        <v>21.03</v>
      </c>
      <c r="M14" t="s">
        <v>392</v>
      </c>
    </row>
    <row r="15" spans="1:13" x14ac:dyDescent="0.3">
      <c r="A15" t="s">
        <v>26</v>
      </c>
      <c r="B15" s="2">
        <v>0.30647747764670524</v>
      </c>
      <c r="C15" s="2">
        <f t="shared" si="0"/>
        <v>6.1295495529341049E-2</v>
      </c>
      <c r="D15" s="2">
        <v>106472</v>
      </c>
      <c r="E15" s="2">
        <f t="shared" si="1"/>
        <v>31941.599999999999</v>
      </c>
      <c r="F15" s="2">
        <f t="shared" si="2"/>
        <v>26618</v>
      </c>
      <c r="G15" s="2">
        <f t="shared" si="3"/>
        <v>5323.6</v>
      </c>
      <c r="H15" s="2">
        <v>32631.27</v>
      </c>
      <c r="I15" s="2">
        <f t="shared" si="4"/>
        <v>16315.635</v>
      </c>
      <c r="J15" s="2">
        <f xml:space="preserve"> Table1[[#This Row],[Diesel (R)]]</f>
        <v>22.95</v>
      </c>
      <c r="K15" t="str">
        <f xml:space="preserve"> Table1[[#This Row],[Diesel (R) Budget]]</f>
        <v>24.19</v>
      </c>
      <c r="L15" s="2">
        <v>22.95</v>
      </c>
      <c r="M15" t="s">
        <v>403</v>
      </c>
    </row>
    <row r="16" spans="1:13" x14ac:dyDescent="0.3">
      <c r="A16" t="s">
        <v>27</v>
      </c>
      <c r="B16" s="2">
        <v>0.30368130415004918</v>
      </c>
      <c r="C16" s="2">
        <f t="shared" si="0"/>
        <v>6.0736260830009839E-2</v>
      </c>
      <c r="D16" s="2">
        <v>94529</v>
      </c>
      <c r="E16" s="2">
        <f t="shared" si="1"/>
        <v>28358.7</v>
      </c>
      <c r="F16" s="2">
        <f t="shared" si="2"/>
        <v>23632.25</v>
      </c>
      <c r="G16" s="2">
        <f t="shared" si="3"/>
        <v>4726.45</v>
      </c>
      <c r="H16" s="2">
        <v>28706.69</v>
      </c>
      <c r="I16" s="2">
        <f t="shared" si="4"/>
        <v>14353.344999999999</v>
      </c>
      <c r="J16" s="2">
        <f xml:space="preserve"> Table1[[#This Row],[Diesel (R)]]</f>
        <v>19.66</v>
      </c>
      <c r="K16" t="str">
        <f xml:space="preserve"> Table1[[#This Row],[Diesel (R) Budget]]</f>
        <v>18.92</v>
      </c>
      <c r="L16" s="2">
        <v>19.66</v>
      </c>
      <c r="M16" t="s">
        <v>404</v>
      </c>
    </row>
    <row r="17" spans="1:13" x14ac:dyDescent="0.3">
      <c r="A17" t="s">
        <v>28</v>
      </c>
      <c r="B17" s="2">
        <v>0.24805353604662816</v>
      </c>
      <c r="C17" s="2">
        <f t="shared" si="0"/>
        <v>4.9610707209325637E-2</v>
      </c>
      <c r="D17" s="2">
        <v>129707</v>
      </c>
      <c r="E17" s="2">
        <f t="shared" si="1"/>
        <v>38912.1</v>
      </c>
      <c r="F17" s="2">
        <f t="shared" si="2"/>
        <v>32426.75</v>
      </c>
      <c r="G17" s="2">
        <f t="shared" si="3"/>
        <v>6485.35</v>
      </c>
      <c r="H17" s="2">
        <v>32174.28</v>
      </c>
      <c r="I17" s="2">
        <f t="shared" si="4"/>
        <v>16087.14</v>
      </c>
      <c r="J17" s="2">
        <f xml:space="preserve"> Table1[[#This Row],[Diesel (R)]]</f>
        <v>17.91</v>
      </c>
      <c r="K17" t="str">
        <f xml:space="preserve"> Table1[[#This Row],[Diesel (R) Budget]]</f>
        <v>22.64</v>
      </c>
      <c r="L17" s="2">
        <v>17.91</v>
      </c>
      <c r="M17" t="s">
        <v>405</v>
      </c>
    </row>
    <row r="18" spans="1:13" x14ac:dyDescent="0.3">
      <c r="A18" t="s">
        <v>29</v>
      </c>
      <c r="B18" s="2">
        <v>0.40651018446562232</v>
      </c>
      <c r="C18" s="2">
        <f t="shared" si="0"/>
        <v>8.1302036893124471E-2</v>
      </c>
      <c r="D18" s="2">
        <v>97796</v>
      </c>
      <c r="E18" s="2">
        <f t="shared" si="1"/>
        <v>29338.799999999999</v>
      </c>
      <c r="F18" s="2">
        <f t="shared" si="2"/>
        <v>24449</v>
      </c>
      <c r="G18" s="2">
        <f t="shared" si="3"/>
        <v>4889.8</v>
      </c>
      <c r="H18" s="2">
        <v>39755.07</v>
      </c>
      <c r="I18" s="2">
        <f t="shared" si="4"/>
        <v>19877.535</v>
      </c>
      <c r="J18" s="2">
        <f xml:space="preserve"> Table1[[#This Row],[Diesel (R)]]</f>
        <v>18.63</v>
      </c>
      <c r="K18" t="str">
        <f xml:space="preserve"> Table1[[#This Row],[Diesel (R) Budget]]</f>
        <v>21.16</v>
      </c>
      <c r="L18" s="2">
        <v>18.63</v>
      </c>
      <c r="M18" t="s">
        <v>406</v>
      </c>
    </row>
    <row r="19" spans="1:13" x14ac:dyDescent="0.3">
      <c r="A19" t="s">
        <v>30</v>
      </c>
      <c r="B19" s="2">
        <v>0.39990683176625735</v>
      </c>
      <c r="C19" s="2">
        <f t="shared" si="0"/>
        <v>7.9981366353251482E-2</v>
      </c>
      <c r="D19" s="2">
        <v>116778</v>
      </c>
      <c r="E19" s="2">
        <f t="shared" si="1"/>
        <v>35033.4</v>
      </c>
      <c r="F19" s="2">
        <f t="shared" si="2"/>
        <v>29194.5</v>
      </c>
      <c r="G19" s="2">
        <f t="shared" si="3"/>
        <v>5838.9000000000005</v>
      </c>
      <c r="H19" s="2">
        <v>46700.32</v>
      </c>
      <c r="I19" s="2">
        <f t="shared" si="4"/>
        <v>23350.16</v>
      </c>
      <c r="J19" s="2">
        <f xml:space="preserve"> Table1[[#This Row],[Diesel (R)]]</f>
        <v>20.75</v>
      </c>
      <c r="K19" t="str">
        <f xml:space="preserve"> Table1[[#This Row],[Diesel (R) Budget]]</f>
        <v>23.07</v>
      </c>
      <c r="L19" s="2">
        <v>20.75</v>
      </c>
      <c r="M19" t="s">
        <v>362</v>
      </c>
    </row>
    <row r="20" spans="1:13" x14ac:dyDescent="0.3">
      <c r="A20" t="s">
        <v>31</v>
      </c>
      <c r="B20" s="2">
        <v>0.75450757839115623</v>
      </c>
      <c r="C20" s="2">
        <f t="shared" si="0"/>
        <v>0.15090151567823126</v>
      </c>
      <c r="D20" s="2">
        <v>57532</v>
      </c>
      <c r="E20" s="2">
        <f t="shared" si="1"/>
        <v>17259.599999999999</v>
      </c>
      <c r="F20" s="2">
        <f t="shared" si="2"/>
        <v>14383</v>
      </c>
      <c r="G20" s="2">
        <f t="shared" si="3"/>
        <v>2876.6000000000004</v>
      </c>
      <c r="H20" s="2">
        <v>43408.33</v>
      </c>
      <c r="I20" s="2">
        <f t="shared" si="4"/>
        <v>21704.165000000001</v>
      </c>
      <c r="J20" s="2">
        <f xml:space="preserve"> Table1[[#This Row],[Diesel (R)]]</f>
        <v>24.31</v>
      </c>
      <c r="K20" t="str">
        <f xml:space="preserve"> Table1[[#This Row],[Diesel (R) Budget]]</f>
        <v>17.95</v>
      </c>
      <c r="L20" s="2">
        <v>24.31</v>
      </c>
      <c r="M20" t="s">
        <v>385</v>
      </c>
    </row>
    <row r="21" spans="1:13" x14ac:dyDescent="0.3">
      <c r="A21" t="s">
        <v>32</v>
      </c>
      <c r="B21" s="2">
        <v>0.32736698373516626</v>
      </c>
      <c r="C21" s="2">
        <f t="shared" si="0"/>
        <v>6.5473396747033258E-2</v>
      </c>
      <c r="D21" s="2">
        <v>140979</v>
      </c>
      <c r="E21" s="2">
        <f t="shared" si="1"/>
        <v>42293.7</v>
      </c>
      <c r="F21" s="2">
        <f t="shared" si="2"/>
        <v>35244.75</v>
      </c>
      <c r="G21" s="2">
        <f t="shared" si="3"/>
        <v>7048.9500000000007</v>
      </c>
      <c r="H21" s="2">
        <v>46151.87</v>
      </c>
      <c r="I21" s="2">
        <f t="shared" si="4"/>
        <v>23075.935000000001</v>
      </c>
      <c r="J21" s="2">
        <f xml:space="preserve"> Table1[[#This Row],[Diesel (R)]]</f>
        <v>23.41</v>
      </c>
      <c r="K21" t="str">
        <f xml:space="preserve"> Table1[[#This Row],[Diesel (R) Budget]]</f>
        <v>24.44</v>
      </c>
      <c r="L21" s="2">
        <v>23.41</v>
      </c>
      <c r="M21" t="s">
        <v>297</v>
      </c>
    </row>
    <row r="22" spans="1:13" x14ac:dyDescent="0.3">
      <c r="A22" t="s">
        <v>33</v>
      </c>
      <c r="B22" s="2">
        <v>0.36867112452905509</v>
      </c>
      <c r="C22" s="2">
        <f t="shared" si="0"/>
        <v>7.3734224905811024E-2</v>
      </c>
      <c r="D22" s="2">
        <v>160316</v>
      </c>
      <c r="E22" s="2">
        <f t="shared" si="1"/>
        <v>48094.799999999996</v>
      </c>
      <c r="F22" s="2">
        <f t="shared" si="2"/>
        <v>40079</v>
      </c>
      <c r="G22" s="2">
        <f t="shared" si="3"/>
        <v>8015.8</v>
      </c>
      <c r="H22" s="2">
        <v>59103.88</v>
      </c>
      <c r="I22" s="2">
        <f t="shared" si="4"/>
        <v>29551.94</v>
      </c>
      <c r="J22" s="2">
        <f xml:space="preserve"> Table1[[#This Row],[Diesel (R)]]</f>
        <v>19.239999999999998</v>
      </c>
      <c r="K22" t="str">
        <f xml:space="preserve"> Table1[[#This Row],[Diesel (R) Budget]]</f>
        <v>20.48</v>
      </c>
      <c r="L22" s="2">
        <v>19.239999999999998</v>
      </c>
      <c r="M22" t="s">
        <v>407</v>
      </c>
    </row>
    <row r="23" spans="1:13" x14ac:dyDescent="0.3">
      <c r="A23" t="s">
        <v>34</v>
      </c>
      <c r="B23" s="2">
        <v>0.30140039501538596</v>
      </c>
      <c r="C23" s="2">
        <f t="shared" si="0"/>
        <v>6.0280079003077192E-2</v>
      </c>
      <c r="D23" s="2">
        <v>183284</v>
      </c>
      <c r="E23" s="2">
        <f t="shared" si="1"/>
        <v>54985.2</v>
      </c>
      <c r="F23" s="2">
        <f t="shared" si="2"/>
        <v>45821</v>
      </c>
      <c r="G23" s="2">
        <f t="shared" si="3"/>
        <v>9164.2000000000007</v>
      </c>
      <c r="H23" s="2">
        <v>55241.87</v>
      </c>
      <c r="I23" s="2">
        <f t="shared" si="4"/>
        <v>27620.935000000001</v>
      </c>
      <c r="J23" s="2">
        <f xml:space="preserve"> Table1[[#This Row],[Diesel (R)]]</f>
        <v>20.36</v>
      </c>
      <c r="K23" t="str">
        <f xml:space="preserve"> Table1[[#This Row],[Diesel (R) Budget]]</f>
        <v>19.63</v>
      </c>
      <c r="L23" s="2">
        <v>20.36</v>
      </c>
      <c r="M23" t="s">
        <v>350</v>
      </c>
    </row>
    <row r="24" spans="1:13" x14ac:dyDescent="0.3">
      <c r="A24" t="s">
        <v>35</v>
      </c>
      <c r="B24" s="2">
        <v>0.43586345251925479</v>
      </c>
      <c r="C24" s="2">
        <f t="shared" si="0"/>
        <v>8.7172690503850958E-2</v>
      </c>
      <c r="D24" s="2">
        <v>92964</v>
      </c>
      <c r="E24" s="2">
        <f t="shared" si="1"/>
        <v>27889.200000000001</v>
      </c>
      <c r="F24" s="2">
        <f t="shared" si="2"/>
        <v>23241</v>
      </c>
      <c r="G24" s="2">
        <f t="shared" si="3"/>
        <v>4648.2</v>
      </c>
      <c r="H24" s="2">
        <v>40519.61</v>
      </c>
      <c r="I24" s="2">
        <f t="shared" si="4"/>
        <v>20259.805</v>
      </c>
      <c r="J24" s="2">
        <f xml:space="preserve"> Table1[[#This Row],[Diesel (R)]]</f>
        <v>17.84</v>
      </c>
      <c r="K24" t="str">
        <f xml:space="preserve"> Table1[[#This Row],[Diesel (R) Budget]]</f>
        <v>23.92</v>
      </c>
      <c r="L24" s="2">
        <v>17.84</v>
      </c>
      <c r="M24" t="s">
        <v>408</v>
      </c>
    </row>
    <row r="25" spans="1:13" x14ac:dyDescent="0.3">
      <c r="A25" t="s">
        <v>36</v>
      </c>
      <c r="B25" s="2">
        <v>0.29070274837234727</v>
      </c>
      <c r="C25" s="2">
        <f t="shared" si="0"/>
        <v>5.8140549674469459E-2</v>
      </c>
      <c r="D25" s="2">
        <v>181089</v>
      </c>
      <c r="E25" s="2">
        <f t="shared" si="1"/>
        <v>54326.7</v>
      </c>
      <c r="F25" s="2">
        <f t="shared" si="2"/>
        <v>45272.25</v>
      </c>
      <c r="G25" s="2">
        <f t="shared" si="3"/>
        <v>9054.4500000000007</v>
      </c>
      <c r="H25" s="2">
        <v>52643.07</v>
      </c>
      <c r="I25" s="2">
        <f t="shared" si="4"/>
        <v>26321.535</v>
      </c>
      <c r="J25" s="2">
        <f xml:space="preserve"> Table1[[#This Row],[Diesel (R)]]</f>
        <v>23.88</v>
      </c>
      <c r="K25" t="str">
        <f xml:space="preserve"> Table1[[#This Row],[Diesel (R) Budget]]</f>
        <v>21.88</v>
      </c>
      <c r="L25" s="2">
        <v>23.88</v>
      </c>
      <c r="M25" t="s">
        <v>272</v>
      </c>
    </row>
    <row r="26" spans="1:13" x14ac:dyDescent="0.3">
      <c r="A26" t="s">
        <v>37</v>
      </c>
      <c r="B26" s="2">
        <v>0.24391593418208352</v>
      </c>
      <c r="C26" s="2">
        <f t="shared" si="0"/>
        <v>4.8783186836416706E-2</v>
      </c>
      <c r="D26" s="2">
        <v>146647</v>
      </c>
      <c r="E26" s="2">
        <f t="shared" si="1"/>
        <v>43994.1</v>
      </c>
      <c r="F26" s="2">
        <f t="shared" si="2"/>
        <v>36661.75</v>
      </c>
      <c r="G26" s="2">
        <f t="shared" si="3"/>
        <v>7332.35</v>
      </c>
      <c r="H26" s="2">
        <v>35769.54</v>
      </c>
      <c r="I26" s="2">
        <f t="shared" si="4"/>
        <v>17884.77</v>
      </c>
      <c r="J26" s="2">
        <f xml:space="preserve"> Table1[[#This Row],[Diesel (R)]]</f>
        <v>18.97</v>
      </c>
      <c r="K26" t="str">
        <f xml:space="preserve"> Table1[[#This Row],[Diesel (R) Budget]]</f>
        <v>18.37</v>
      </c>
      <c r="L26" s="2">
        <v>18.97</v>
      </c>
      <c r="M26" t="s">
        <v>409</v>
      </c>
    </row>
    <row r="27" spans="1:13" x14ac:dyDescent="0.3">
      <c r="A27" t="s">
        <v>38</v>
      </c>
      <c r="B27" s="2">
        <v>0.36142578988359614</v>
      </c>
      <c r="C27" s="2">
        <f t="shared" si="0"/>
        <v>7.2285157976719236E-2</v>
      </c>
      <c r="D27" s="2">
        <v>95014</v>
      </c>
      <c r="E27" s="2">
        <f t="shared" si="1"/>
        <v>28504.2</v>
      </c>
      <c r="F27" s="2">
        <f t="shared" si="2"/>
        <v>23753.5</v>
      </c>
      <c r="G27" s="2">
        <f t="shared" si="3"/>
        <v>4750.7</v>
      </c>
      <c r="H27" s="2">
        <v>34340.51</v>
      </c>
      <c r="I27" s="2">
        <f t="shared" si="4"/>
        <v>17170.255000000001</v>
      </c>
      <c r="J27" s="2">
        <f xml:space="preserve"> Table1[[#This Row],[Diesel (R)]]</f>
        <v>17.12</v>
      </c>
      <c r="K27" t="str">
        <f xml:space="preserve"> Table1[[#This Row],[Diesel (R) Budget]]</f>
        <v>24.02</v>
      </c>
      <c r="L27" s="2">
        <v>17.12</v>
      </c>
      <c r="M27" t="s">
        <v>289</v>
      </c>
    </row>
    <row r="28" spans="1:13" x14ac:dyDescent="0.3">
      <c r="A28" t="s">
        <v>39</v>
      </c>
      <c r="B28" s="2">
        <v>0.34087061625821458</v>
      </c>
      <c r="C28" s="2">
        <f t="shared" si="0"/>
        <v>6.8174123251642918E-2</v>
      </c>
      <c r="D28" s="2">
        <v>141061</v>
      </c>
      <c r="E28" s="2">
        <f t="shared" si="1"/>
        <v>42318.299999999996</v>
      </c>
      <c r="F28" s="2">
        <f t="shared" si="2"/>
        <v>35265.25</v>
      </c>
      <c r="G28" s="2">
        <f t="shared" si="3"/>
        <v>7053.05</v>
      </c>
      <c r="H28" s="2">
        <v>48083.55</v>
      </c>
      <c r="I28" s="2">
        <f t="shared" si="4"/>
        <v>24041.775000000001</v>
      </c>
      <c r="J28" s="2">
        <f xml:space="preserve"> Table1[[#This Row],[Diesel (R)]]</f>
        <v>21.44</v>
      </c>
      <c r="K28" t="str">
        <f xml:space="preserve"> Table1[[#This Row],[Diesel (R) Budget]]</f>
        <v>19.14</v>
      </c>
      <c r="L28" s="2">
        <v>21.44</v>
      </c>
      <c r="M28" t="s">
        <v>410</v>
      </c>
    </row>
    <row r="29" spans="1:13" x14ac:dyDescent="0.3">
      <c r="A29" t="s">
        <v>40</v>
      </c>
      <c r="B29" s="2">
        <v>0.26550351923970128</v>
      </c>
      <c r="C29" s="2">
        <f t="shared" si="0"/>
        <v>5.3100703847940259E-2</v>
      </c>
      <c r="D29" s="2">
        <v>139945</v>
      </c>
      <c r="E29" s="2">
        <f t="shared" si="1"/>
        <v>41983.5</v>
      </c>
      <c r="F29" s="2">
        <f t="shared" si="2"/>
        <v>34986.25</v>
      </c>
      <c r="G29" s="2">
        <f t="shared" si="3"/>
        <v>6997.25</v>
      </c>
      <c r="H29" s="2">
        <v>37155.89</v>
      </c>
      <c r="I29" s="2">
        <f t="shared" si="4"/>
        <v>18577.945</v>
      </c>
      <c r="J29" s="2">
        <f xml:space="preserve"> Table1[[#This Row],[Diesel (R)]]</f>
        <v>22.06</v>
      </c>
      <c r="K29" t="str">
        <f xml:space="preserve"> Table1[[#This Row],[Diesel (R) Budget]]</f>
        <v>22.79</v>
      </c>
      <c r="L29" s="2">
        <v>22.06</v>
      </c>
      <c r="M29" t="s">
        <v>411</v>
      </c>
    </row>
    <row r="30" spans="1:13" x14ac:dyDescent="0.3">
      <c r="A30" t="s">
        <v>41</v>
      </c>
      <c r="B30" s="2">
        <v>0.45380887214132204</v>
      </c>
      <c r="C30" s="2">
        <f t="shared" si="0"/>
        <v>9.0761774428264413E-2</v>
      </c>
      <c r="D30" s="2">
        <v>103763</v>
      </c>
      <c r="E30" s="2">
        <f t="shared" si="1"/>
        <v>31128.899999999998</v>
      </c>
      <c r="F30" s="2">
        <f t="shared" si="2"/>
        <v>25940.75</v>
      </c>
      <c r="G30" s="2">
        <f t="shared" si="3"/>
        <v>5188.1500000000005</v>
      </c>
      <c r="H30" s="2">
        <v>47088.57</v>
      </c>
      <c r="I30" s="2">
        <f t="shared" si="4"/>
        <v>23544.285</v>
      </c>
      <c r="J30" s="2">
        <f xml:space="preserve"> Table1[[#This Row],[Diesel (R)]]</f>
        <v>24.51</v>
      </c>
      <c r="K30" t="str">
        <f xml:space="preserve"> Table1[[#This Row],[Diesel (R) Budget]]</f>
        <v>21.32</v>
      </c>
      <c r="L30" s="2">
        <v>24.51</v>
      </c>
      <c r="M30" t="s">
        <v>330</v>
      </c>
    </row>
    <row r="31" spans="1:13" x14ac:dyDescent="0.3">
      <c r="A31" t="s">
        <v>42</v>
      </c>
      <c r="B31" s="2">
        <v>0.28860643281815701</v>
      </c>
      <c r="C31" s="2">
        <f t="shared" si="0"/>
        <v>5.7721286563631402E-2</v>
      </c>
      <c r="D31" s="2">
        <v>142799</v>
      </c>
      <c r="E31" s="2">
        <f t="shared" si="1"/>
        <v>42839.7</v>
      </c>
      <c r="F31" s="2">
        <f t="shared" si="2"/>
        <v>35699.75</v>
      </c>
      <c r="G31" s="2">
        <f t="shared" si="3"/>
        <v>7139.9500000000007</v>
      </c>
      <c r="H31" s="2">
        <v>41212.71</v>
      </c>
      <c r="I31" s="2">
        <f t="shared" si="4"/>
        <v>20606.355</v>
      </c>
      <c r="J31" s="2">
        <f xml:space="preserve"> Table1[[#This Row],[Diesel (R)]]</f>
        <v>19.53</v>
      </c>
      <c r="K31" t="str">
        <f xml:space="preserve"> Table1[[#This Row],[Diesel (R) Budget]]</f>
        <v>23.51</v>
      </c>
      <c r="L31" s="2">
        <v>19.53</v>
      </c>
      <c r="M31" t="s">
        <v>412</v>
      </c>
    </row>
    <row r="32" spans="1:13" x14ac:dyDescent="0.3">
      <c r="A32" t="s">
        <v>43</v>
      </c>
      <c r="B32" s="2">
        <v>0.26677894320205814</v>
      </c>
      <c r="C32" s="2">
        <f t="shared" si="0"/>
        <v>5.3355788640411628E-2</v>
      </c>
      <c r="D32" s="2">
        <v>151590</v>
      </c>
      <c r="E32" s="2">
        <f t="shared" si="1"/>
        <v>45477</v>
      </c>
      <c r="F32" s="2">
        <f t="shared" si="2"/>
        <v>37897.5</v>
      </c>
      <c r="G32" s="2">
        <f t="shared" si="3"/>
        <v>7579.5</v>
      </c>
      <c r="H32" s="2">
        <v>40441.019999999997</v>
      </c>
      <c r="I32" s="2">
        <f t="shared" si="4"/>
        <v>20220.509999999998</v>
      </c>
      <c r="J32" s="2">
        <f xml:space="preserve"> Table1[[#This Row],[Diesel (R)]]</f>
        <v>20.12</v>
      </c>
      <c r="K32" t="str">
        <f xml:space="preserve"> Table1[[#This Row],[Diesel (R) Budget]]</f>
        <v>17.84</v>
      </c>
      <c r="L32" s="2">
        <v>20.12</v>
      </c>
      <c r="M32" t="s">
        <v>284</v>
      </c>
    </row>
    <row r="33" spans="1:13" x14ac:dyDescent="0.3">
      <c r="A33" t="s">
        <v>44</v>
      </c>
      <c r="B33" s="2">
        <v>0.25500877348096357</v>
      </c>
      <c r="C33" s="2">
        <f t="shared" si="0"/>
        <v>5.1001754696192718E-2</v>
      </c>
      <c r="D33" s="2">
        <v>147034</v>
      </c>
      <c r="E33" s="2">
        <f t="shared" si="1"/>
        <v>44110.2</v>
      </c>
      <c r="F33" s="2">
        <f t="shared" si="2"/>
        <v>36758.5</v>
      </c>
      <c r="G33" s="2">
        <f t="shared" si="3"/>
        <v>7351.7000000000007</v>
      </c>
      <c r="H33" s="2">
        <v>37494.959999999999</v>
      </c>
      <c r="I33" s="2">
        <f t="shared" si="4"/>
        <v>18747.48</v>
      </c>
      <c r="J33" s="2">
        <f xml:space="preserve"> Table1[[#This Row],[Diesel (R)]]</f>
        <v>18.45</v>
      </c>
      <c r="K33" t="str">
        <f xml:space="preserve"> Table1[[#This Row],[Diesel (R) Budget]]</f>
        <v>24.33</v>
      </c>
      <c r="L33" s="2">
        <v>18.45</v>
      </c>
      <c r="M33" t="s">
        <v>395</v>
      </c>
    </row>
    <row r="34" spans="1:13" x14ac:dyDescent="0.3">
      <c r="A34" t="s">
        <v>45</v>
      </c>
      <c r="B34" s="2">
        <v>0.2262822247737773</v>
      </c>
      <c r="C34" s="2">
        <f t="shared" si="0"/>
        <v>4.5256444954755462E-2</v>
      </c>
      <c r="D34" s="2">
        <v>146316</v>
      </c>
      <c r="E34" s="2">
        <f t="shared" si="1"/>
        <v>43894.799999999996</v>
      </c>
      <c r="F34" s="2">
        <f t="shared" si="2"/>
        <v>36579</v>
      </c>
      <c r="G34" s="2">
        <f t="shared" si="3"/>
        <v>7315.8</v>
      </c>
      <c r="H34" s="2">
        <v>33108.71</v>
      </c>
      <c r="I34" s="2">
        <f t="shared" si="4"/>
        <v>16554.355</v>
      </c>
      <c r="J34" s="2">
        <f xml:space="preserve"> Table1[[#This Row],[Diesel (R)]]</f>
        <v>23.29</v>
      </c>
      <c r="K34" t="str">
        <f xml:space="preserve"> Table1[[#This Row],[Diesel (R) Budget]]</f>
        <v>20.91</v>
      </c>
      <c r="L34" s="2">
        <v>23.29</v>
      </c>
      <c r="M34" t="s">
        <v>274</v>
      </c>
    </row>
    <row r="35" spans="1:13" x14ac:dyDescent="0.3">
      <c r="A35" t="s">
        <v>46</v>
      </c>
      <c r="B35" s="2">
        <v>0.37473510190948528</v>
      </c>
      <c r="C35" s="2">
        <f t="shared" si="0"/>
        <v>7.4947020381897059E-2</v>
      </c>
      <c r="D35" s="2">
        <v>180258</v>
      </c>
      <c r="E35" s="2">
        <f t="shared" si="1"/>
        <v>54077.4</v>
      </c>
      <c r="F35" s="2">
        <f t="shared" si="2"/>
        <v>45064.5</v>
      </c>
      <c r="G35" s="2">
        <f t="shared" si="3"/>
        <v>9012.9</v>
      </c>
      <c r="H35" s="2">
        <v>67549</v>
      </c>
      <c r="I35" s="2">
        <f t="shared" si="4"/>
        <v>33774.5</v>
      </c>
      <c r="J35" s="2">
        <f xml:space="preserve"> Table1[[#This Row],[Diesel (R)]]</f>
        <v>24.02</v>
      </c>
      <c r="K35" t="str">
        <f xml:space="preserve"> Table1[[#This Row],[Diesel (R) Budget]]</f>
        <v>19.57</v>
      </c>
      <c r="L35" s="2">
        <v>24.02</v>
      </c>
      <c r="M35" t="s">
        <v>413</v>
      </c>
    </row>
    <row r="36" spans="1:13" x14ac:dyDescent="0.3">
      <c r="A36" t="s">
        <v>47</v>
      </c>
      <c r="B36" s="2">
        <v>0.31194740870486759</v>
      </c>
      <c r="C36" s="2">
        <f t="shared" si="0"/>
        <v>6.2389481740973522E-2</v>
      </c>
      <c r="D36" s="2">
        <v>135878</v>
      </c>
      <c r="E36" s="2">
        <f t="shared" si="1"/>
        <v>40763.4</v>
      </c>
      <c r="F36" s="2">
        <f t="shared" si="2"/>
        <v>33969.5</v>
      </c>
      <c r="G36" s="2">
        <f t="shared" si="3"/>
        <v>6793.9000000000005</v>
      </c>
      <c r="H36" s="2">
        <v>42386.79</v>
      </c>
      <c r="I36" s="2">
        <f t="shared" si="4"/>
        <v>21193.395</v>
      </c>
      <c r="J36" s="2">
        <f xml:space="preserve"> Table1[[#This Row],[Diesel (R)]]</f>
        <v>22.73</v>
      </c>
      <c r="K36" t="str">
        <f xml:space="preserve"> Table1[[#This Row],[Diesel (R) Budget]]</f>
        <v>23.18</v>
      </c>
      <c r="L36" s="2">
        <v>22.73</v>
      </c>
      <c r="M36" t="s">
        <v>414</v>
      </c>
    </row>
    <row r="37" spans="1:13" x14ac:dyDescent="0.3">
      <c r="A37" t="s">
        <v>48</v>
      </c>
      <c r="B37" s="2">
        <v>0.28256418412925627</v>
      </c>
      <c r="C37" s="2">
        <f t="shared" si="0"/>
        <v>5.6512836825851259E-2</v>
      </c>
      <c r="D37" s="2">
        <v>150894</v>
      </c>
      <c r="E37" s="2">
        <f t="shared" si="1"/>
        <v>45268.2</v>
      </c>
      <c r="F37" s="2">
        <f t="shared" si="2"/>
        <v>37723.5</v>
      </c>
      <c r="G37" s="2">
        <f t="shared" si="3"/>
        <v>7544.7000000000007</v>
      </c>
      <c r="H37" s="2">
        <v>42637.24</v>
      </c>
      <c r="I37" s="2">
        <f t="shared" si="4"/>
        <v>21318.62</v>
      </c>
      <c r="J37" s="2">
        <f xml:space="preserve"> Table1[[#This Row],[Diesel (R)]]</f>
        <v>17.45</v>
      </c>
      <c r="K37" t="str">
        <f xml:space="preserve"> Table1[[#This Row],[Diesel (R) Budget]]</f>
        <v>21.47</v>
      </c>
      <c r="L37" s="2">
        <v>17.45</v>
      </c>
      <c r="M37" t="s">
        <v>415</v>
      </c>
    </row>
    <row r="38" spans="1:13" x14ac:dyDescent="0.3">
      <c r="A38" t="s">
        <v>49</v>
      </c>
      <c r="B38" s="2">
        <v>0.33883855076470665</v>
      </c>
      <c r="C38" s="2">
        <f t="shared" si="0"/>
        <v>6.7767710152941335E-2</v>
      </c>
      <c r="D38" s="2">
        <v>159146</v>
      </c>
      <c r="E38" s="2">
        <f t="shared" si="1"/>
        <v>47743.799999999996</v>
      </c>
      <c r="F38" s="2">
        <f t="shared" si="2"/>
        <v>39786.5</v>
      </c>
      <c r="G38" s="2">
        <f t="shared" si="3"/>
        <v>7957.3</v>
      </c>
      <c r="H38" s="2">
        <v>53924.800000000003</v>
      </c>
      <c r="I38" s="2">
        <f t="shared" si="4"/>
        <v>26962.400000000001</v>
      </c>
      <c r="J38" s="2">
        <f xml:space="preserve"> Table1[[#This Row],[Diesel (R)]]</f>
        <v>21.92</v>
      </c>
      <c r="K38" t="str">
        <f xml:space="preserve"> Table1[[#This Row],[Diesel (R) Budget]]</f>
        <v>18.22</v>
      </c>
      <c r="L38" s="2">
        <v>21.92</v>
      </c>
      <c r="M38" t="s">
        <v>416</v>
      </c>
    </row>
    <row r="39" spans="1:13" x14ac:dyDescent="0.3">
      <c r="A39" t="s">
        <v>50</v>
      </c>
      <c r="B39" s="2">
        <v>0.72281930315986043</v>
      </c>
      <c r="C39" s="2">
        <f t="shared" si="0"/>
        <v>0.1445638606319721</v>
      </c>
      <c r="D39" s="2">
        <v>20349</v>
      </c>
      <c r="E39" s="2">
        <f t="shared" si="1"/>
        <v>6104.7</v>
      </c>
      <c r="F39" s="2">
        <f t="shared" si="2"/>
        <v>5087.25</v>
      </c>
      <c r="G39" s="2">
        <f t="shared" si="3"/>
        <v>1017.45</v>
      </c>
      <c r="H39" s="2">
        <v>14708.65</v>
      </c>
      <c r="I39" s="2">
        <f t="shared" si="4"/>
        <v>7354.3249999999998</v>
      </c>
      <c r="J39" s="2">
        <f xml:space="preserve"> Table1[[#This Row],[Diesel (R)]]</f>
        <v>19.850000000000001</v>
      </c>
      <c r="K39" t="str">
        <f xml:space="preserve"> Table1[[#This Row],[Diesel (R) Budget]]</f>
        <v>24.62</v>
      </c>
      <c r="L39" s="2">
        <v>19.850000000000001</v>
      </c>
      <c r="M39" t="s">
        <v>336</v>
      </c>
    </row>
    <row r="40" spans="1:13" x14ac:dyDescent="0.3">
      <c r="A40" t="s">
        <v>51</v>
      </c>
      <c r="B40" s="2">
        <v>0.48224010534786749</v>
      </c>
      <c r="C40" s="2">
        <f t="shared" si="0"/>
        <v>9.6448021069573509E-2</v>
      </c>
      <c r="D40" s="2">
        <v>41007</v>
      </c>
      <c r="E40" s="2">
        <f t="shared" si="1"/>
        <v>12302.1</v>
      </c>
      <c r="F40" s="2">
        <f t="shared" si="2"/>
        <v>10251.75</v>
      </c>
      <c r="G40" s="2">
        <f t="shared" si="3"/>
        <v>2050.35</v>
      </c>
      <c r="H40" s="2">
        <v>19775.22</v>
      </c>
      <c r="I40" s="2">
        <f t="shared" si="4"/>
        <v>9887.61</v>
      </c>
      <c r="J40" s="2">
        <f xml:space="preserve"> Table1[[#This Row],[Diesel (R)]]</f>
        <v>18.28</v>
      </c>
      <c r="K40" t="str">
        <f xml:space="preserve"> Table1[[#This Row],[Diesel (R) Budget]]</f>
        <v>19.02</v>
      </c>
      <c r="L40" s="2">
        <v>18.28</v>
      </c>
      <c r="M40" t="s">
        <v>320</v>
      </c>
    </row>
    <row r="41" spans="1:13" x14ac:dyDescent="0.3">
      <c r="A41" t="s">
        <v>52</v>
      </c>
      <c r="B41" s="2">
        <v>0.30446858288770057</v>
      </c>
      <c r="C41" s="2">
        <f t="shared" si="0"/>
        <v>6.0893716577540113E-2</v>
      </c>
      <c r="D41" s="2">
        <v>173536</v>
      </c>
      <c r="E41" s="2">
        <f t="shared" si="1"/>
        <v>52060.799999999996</v>
      </c>
      <c r="F41" s="2">
        <f t="shared" si="2"/>
        <v>43384</v>
      </c>
      <c r="G41" s="2">
        <f t="shared" si="3"/>
        <v>8676.8000000000011</v>
      </c>
      <c r="H41" s="2">
        <v>52836.26</v>
      </c>
      <c r="I41" s="2">
        <f t="shared" si="4"/>
        <v>26418.13</v>
      </c>
      <c r="J41" s="2">
        <f xml:space="preserve"> Table1[[#This Row],[Diesel (R)]]</f>
        <v>24.63</v>
      </c>
      <c r="K41" t="str">
        <f xml:space="preserve"> Table1[[#This Row],[Diesel (R) Budget]]</f>
        <v>22.55</v>
      </c>
      <c r="L41" s="2">
        <v>24.63</v>
      </c>
      <c r="M41" t="s">
        <v>417</v>
      </c>
    </row>
    <row r="42" spans="1:13" x14ac:dyDescent="0.3">
      <c r="A42" t="s">
        <v>53</v>
      </c>
      <c r="B42" s="2">
        <v>0.3349937989698995</v>
      </c>
      <c r="C42" s="2">
        <f t="shared" si="0"/>
        <v>6.6998759793979901E-2</v>
      </c>
      <c r="D42" s="2">
        <v>137074</v>
      </c>
      <c r="E42" s="2">
        <f t="shared" si="1"/>
        <v>41122.199999999997</v>
      </c>
      <c r="F42" s="2">
        <f t="shared" si="2"/>
        <v>34268.5</v>
      </c>
      <c r="G42" s="2">
        <f t="shared" si="3"/>
        <v>6853.7000000000007</v>
      </c>
      <c r="H42" s="2">
        <v>45918.94</v>
      </c>
      <c r="I42" s="2">
        <f t="shared" si="4"/>
        <v>22959.47</v>
      </c>
      <c r="J42" s="2">
        <f xml:space="preserve"> Table1[[#This Row],[Diesel (R)]]</f>
        <v>23.76</v>
      </c>
      <c r="K42" t="str">
        <f xml:space="preserve"> Table1[[#This Row],[Diesel (R) Budget]]</f>
        <v>21.63</v>
      </c>
      <c r="L42" s="2">
        <v>23.76</v>
      </c>
      <c r="M42" t="s">
        <v>394</v>
      </c>
    </row>
    <row r="43" spans="1:13" x14ac:dyDescent="0.3">
      <c r="A43" t="s">
        <v>54</v>
      </c>
      <c r="B43" s="2">
        <v>0.30926419566714342</v>
      </c>
      <c r="C43" s="2">
        <f t="shared" si="0"/>
        <v>6.1852839133428685E-2</v>
      </c>
      <c r="D43" s="2">
        <v>151032</v>
      </c>
      <c r="E43" s="2">
        <f t="shared" si="1"/>
        <v>45309.599999999999</v>
      </c>
      <c r="F43" s="2">
        <f t="shared" si="2"/>
        <v>37758</v>
      </c>
      <c r="G43" s="2">
        <f t="shared" si="3"/>
        <v>7551.6</v>
      </c>
      <c r="H43" s="2">
        <v>46708.79</v>
      </c>
      <c r="I43" s="2">
        <f t="shared" si="4"/>
        <v>23354.395</v>
      </c>
      <c r="J43" s="2">
        <f xml:space="preserve"> Table1[[#This Row],[Diesel (R)]]</f>
        <v>20.47</v>
      </c>
      <c r="K43" t="str">
        <f xml:space="preserve"> Table1[[#This Row],[Diesel (R) Budget]]</f>
        <v>23.74</v>
      </c>
      <c r="L43" s="2">
        <v>20.47</v>
      </c>
      <c r="M43" t="s">
        <v>375</v>
      </c>
    </row>
    <row r="44" spans="1:13" x14ac:dyDescent="0.3">
      <c r="A44" t="s">
        <v>55</v>
      </c>
      <c r="B44" s="2">
        <v>1.3741840833276602</v>
      </c>
      <c r="C44" s="2">
        <f t="shared" si="0"/>
        <v>0.27483681666553206</v>
      </c>
      <c r="D44" s="2">
        <v>14689</v>
      </c>
      <c r="E44" s="2">
        <f t="shared" si="1"/>
        <v>4406.7</v>
      </c>
      <c r="F44" s="2">
        <f t="shared" si="2"/>
        <v>3672.25</v>
      </c>
      <c r="G44" s="2">
        <f t="shared" si="3"/>
        <v>734.45</v>
      </c>
      <c r="H44" s="2">
        <v>20185.39</v>
      </c>
      <c r="I44" s="2">
        <f t="shared" si="4"/>
        <v>10092.695</v>
      </c>
      <c r="J44" s="2">
        <f xml:space="preserve"> Table1[[#This Row],[Diesel (R)]]</f>
        <v>21.15</v>
      </c>
      <c r="K44" t="str">
        <f xml:space="preserve"> Table1[[#This Row],[Diesel (R) Budget]]</f>
        <v>17.99</v>
      </c>
      <c r="L44" s="2">
        <v>21.15</v>
      </c>
      <c r="M44" t="s">
        <v>326</v>
      </c>
    </row>
    <row r="45" spans="1:13" x14ac:dyDescent="0.3">
      <c r="A45" t="s">
        <v>56</v>
      </c>
      <c r="B45" s="2">
        <v>0.26396525890214345</v>
      </c>
      <c r="C45" s="2">
        <f t="shared" si="0"/>
        <v>5.2793051780428694E-2</v>
      </c>
      <c r="D45" s="2">
        <v>190207</v>
      </c>
      <c r="E45" s="2">
        <f t="shared" si="1"/>
        <v>57062.1</v>
      </c>
      <c r="F45" s="2">
        <f t="shared" si="2"/>
        <v>47551.75</v>
      </c>
      <c r="G45" s="2">
        <f t="shared" si="3"/>
        <v>9510.35</v>
      </c>
      <c r="H45" s="2">
        <v>50208.04</v>
      </c>
      <c r="I45" s="2">
        <f t="shared" si="4"/>
        <v>25104.02</v>
      </c>
      <c r="J45" s="2">
        <f xml:space="preserve"> Table1[[#This Row],[Diesel (R)]]</f>
        <v>16.93</v>
      </c>
      <c r="K45" t="str">
        <f xml:space="preserve"> Table1[[#This Row],[Diesel (R) Budget]]</f>
        <v>24.09</v>
      </c>
      <c r="L45" s="2">
        <v>16.93</v>
      </c>
      <c r="M45" t="s">
        <v>358</v>
      </c>
    </row>
    <row r="46" spans="1:13" x14ac:dyDescent="0.3">
      <c r="A46" t="s">
        <v>57</v>
      </c>
      <c r="B46" s="2">
        <v>0.36102027518343988</v>
      </c>
      <c r="C46" s="2">
        <f t="shared" si="0"/>
        <v>7.2204055036687975E-2</v>
      </c>
      <c r="D46" s="2">
        <v>105893</v>
      </c>
      <c r="E46" s="2">
        <f t="shared" si="1"/>
        <v>31767.899999999998</v>
      </c>
      <c r="F46" s="2">
        <f t="shared" si="2"/>
        <v>26473.25</v>
      </c>
      <c r="G46" s="2">
        <f t="shared" si="3"/>
        <v>5294.6500000000005</v>
      </c>
      <c r="H46" s="2">
        <v>38229.519999999997</v>
      </c>
      <c r="I46" s="2">
        <f t="shared" si="4"/>
        <v>19114.759999999998</v>
      </c>
      <c r="J46" s="2">
        <f xml:space="preserve"> Table1[[#This Row],[Diesel (R)]]</f>
        <v>22.58</v>
      </c>
      <c r="K46" t="str">
        <f xml:space="preserve"> Table1[[#This Row],[Diesel (R) Budget]]</f>
        <v>20.36</v>
      </c>
      <c r="L46" s="2">
        <v>22.58</v>
      </c>
      <c r="M46" t="s">
        <v>283</v>
      </c>
    </row>
    <row r="47" spans="1:13" x14ac:dyDescent="0.3">
      <c r="A47" t="s">
        <v>58</v>
      </c>
      <c r="B47" s="2">
        <v>0.27628298195748041</v>
      </c>
      <c r="C47" s="2">
        <f t="shared" si="0"/>
        <v>5.5256596391496084E-2</v>
      </c>
      <c r="D47" s="2">
        <v>146709</v>
      </c>
      <c r="E47" s="2">
        <f t="shared" si="1"/>
        <v>44012.7</v>
      </c>
      <c r="F47" s="2">
        <f t="shared" si="2"/>
        <v>36677.25</v>
      </c>
      <c r="G47" s="2">
        <f t="shared" si="3"/>
        <v>7335.4500000000007</v>
      </c>
      <c r="H47" s="2">
        <v>40533.199999999997</v>
      </c>
      <c r="I47" s="2">
        <f t="shared" si="4"/>
        <v>20266.599999999999</v>
      </c>
      <c r="J47" s="2">
        <f xml:space="preserve"> Table1[[#This Row],[Diesel (R)]]</f>
        <v>24.21</v>
      </c>
      <c r="K47" t="str">
        <f xml:space="preserve"> Table1[[#This Row],[Diesel (R) Budget]]</f>
        <v>19.88</v>
      </c>
      <c r="L47" s="2">
        <v>24.21</v>
      </c>
      <c r="M47" t="s">
        <v>335</v>
      </c>
    </row>
    <row r="48" spans="1:13" x14ac:dyDescent="0.3">
      <c r="A48" t="s">
        <v>59</v>
      </c>
      <c r="B48" s="2">
        <v>0.25751764667963084</v>
      </c>
      <c r="C48" s="2">
        <f t="shared" si="0"/>
        <v>5.1503529335926168E-2</v>
      </c>
      <c r="D48" s="2">
        <v>186154</v>
      </c>
      <c r="E48" s="2">
        <f t="shared" si="1"/>
        <v>55846.2</v>
      </c>
      <c r="F48" s="2">
        <f t="shared" si="2"/>
        <v>46538.5</v>
      </c>
      <c r="G48" s="2">
        <f t="shared" si="3"/>
        <v>9307.7000000000007</v>
      </c>
      <c r="H48" s="2">
        <v>47937.94</v>
      </c>
      <c r="I48" s="2">
        <f t="shared" si="4"/>
        <v>23968.97</v>
      </c>
      <c r="J48" s="2">
        <f xml:space="preserve"> Table1[[#This Row],[Diesel (R)]]</f>
        <v>18.11</v>
      </c>
      <c r="K48" t="str">
        <f xml:space="preserve"> Table1[[#This Row],[Diesel (R) Budget]]</f>
        <v>23.29</v>
      </c>
      <c r="L48" s="2">
        <v>18.11</v>
      </c>
      <c r="M48" t="s">
        <v>288</v>
      </c>
    </row>
    <row r="49" spans="1:13" x14ac:dyDescent="0.3">
      <c r="A49" t="s">
        <v>60</v>
      </c>
      <c r="B49" s="2">
        <v>0.29406900096758587</v>
      </c>
      <c r="C49" s="2">
        <f t="shared" si="0"/>
        <v>5.8813800193517174E-2</v>
      </c>
      <c r="D49" s="2">
        <v>132288</v>
      </c>
      <c r="E49" s="2">
        <f t="shared" si="1"/>
        <v>39686.400000000001</v>
      </c>
      <c r="F49" s="2">
        <f t="shared" si="2"/>
        <v>33072</v>
      </c>
      <c r="G49" s="2">
        <f t="shared" si="3"/>
        <v>6614.4000000000005</v>
      </c>
      <c r="H49" s="2">
        <v>38901.800000000003</v>
      </c>
      <c r="I49" s="2">
        <f t="shared" si="4"/>
        <v>19450.900000000001</v>
      </c>
      <c r="J49" s="2">
        <f xml:space="preserve"> Table1[[#This Row],[Diesel (R)]]</f>
        <v>23.94</v>
      </c>
      <c r="K49" t="str">
        <f xml:space="preserve"> Table1[[#This Row],[Diesel (R) Budget]]</f>
        <v>21.58</v>
      </c>
      <c r="L49" s="2">
        <v>23.94</v>
      </c>
      <c r="M49" t="s">
        <v>367</v>
      </c>
    </row>
    <row r="50" spans="1:13" x14ac:dyDescent="0.3">
      <c r="A50" t="s">
        <v>61</v>
      </c>
      <c r="B50" s="2">
        <v>0.30917929187824306</v>
      </c>
      <c r="C50" s="2">
        <f t="shared" si="0"/>
        <v>6.1835858375648617E-2</v>
      </c>
      <c r="D50" s="2">
        <v>144156</v>
      </c>
      <c r="E50" s="2">
        <f t="shared" si="1"/>
        <v>43246.799999999996</v>
      </c>
      <c r="F50" s="2">
        <f t="shared" si="2"/>
        <v>36039</v>
      </c>
      <c r="G50" s="2">
        <f t="shared" si="3"/>
        <v>7207.8</v>
      </c>
      <c r="H50" s="2">
        <v>44570.05</v>
      </c>
      <c r="I50" s="2">
        <f t="shared" si="4"/>
        <v>22285.025000000001</v>
      </c>
      <c r="J50" s="2">
        <f xml:space="preserve"> Table1[[#This Row],[Diesel (R)]]</f>
        <v>20.63</v>
      </c>
      <c r="K50" t="str">
        <f xml:space="preserve"> Table1[[#This Row],[Diesel (R) Budget]]</f>
        <v>18.41</v>
      </c>
      <c r="L50" s="2">
        <v>20.63</v>
      </c>
      <c r="M50" t="s">
        <v>388</v>
      </c>
    </row>
    <row r="51" spans="1:13" x14ac:dyDescent="0.3">
      <c r="A51" t="s">
        <v>62</v>
      </c>
      <c r="B51" s="2">
        <v>0.33904987529389907</v>
      </c>
      <c r="C51" s="2">
        <f t="shared" si="0"/>
        <v>6.7809975058779823E-2</v>
      </c>
      <c r="D51" s="2">
        <v>139929</v>
      </c>
      <c r="E51" s="2">
        <f t="shared" si="1"/>
        <v>41978.7</v>
      </c>
      <c r="F51" s="2">
        <f t="shared" si="2"/>
        <v>34982.25</v>
      </c>
      <c r="G51" s="2">
        <f t="shared" si="3"/>
        <v>6996.4500000000007</v>
      </c>
      <c r="H51" s="2">
        <v>47442.91</v>
      </c>
      <c r="I51" s="2">
        <f t="shared" si="4"/>
        <v>23721.455000000002</v>
      </c>
      <c r="J51" s="2">
        <f xml:space="preserve"> Table1[[#This Row],[Diesel (R)]]</f>
        <v>21.71</v>
      </c>
      <c r="K51" t="str">
        <f xml:space="preserve"> Table1[[#This Row],[Diesel (R) Budget]]</f>
        <v>24.71</v>
      </c>
      <c r="L51" s="2">
        <v>21.71</v>
      </c>
      <c r="M51" t="s">
        <v>378</v>
      </c>
    </row>
    <row r="52" spans="1:13" x14ac:dyDescent="0.3">
      <c r="A52" t="s">
        <v>63</v>
      </c>
      <c r="B52" s="2">
        <v>0.34067412078928389</v>
      </c>
      <c r="C52" s="2">
        <f t="shared" si="0"/>
        <v>6.813482415785678E-2</v>
      </c>
      <c r="D52" s="2">
        <v>98469</v>
      </c>
      <c r="E52" s="2">
        <f t="shared" si="1"/>
        <v>29540.699999999997</v>
      </c>
      <c r="F52" s="2">
        <f t="shared" si="2"/>
        <v>24617.25</v>
      </c>
      <c r="G52" s="2">
        <f t="shared" si="3"/>
        <v>4923.4500000000007</v>
      </c>
      <c r="H52" s="2">
        <v>33545.839999999997</v>
      </c>
      <c r="I52" s="2">
        <f t="shared" si="4"/>
        <v>16772.919999999998</v>
      </c>
      <c r="J52" s="2">
        <f xml:space="preserve"> Table1[[#This Row],[Diesel (R)]]</f>
        <v>19.11</v>
      </c>
      <c r="K52" t="str">
        <f xml:space="preserve"> Table1[[#This Row],[Diesel (R) Budget]]</f>
        <v>19.73</v>
      </c>
      <c r="L52" s="2">
        <v>19.11</v>
      </c>
      <c r="M52" t="s">
        <v>359</v>
      </c>
    </row>
    <row r="53" spans="1:13" x14ac:dyDescent="0.3">
      <c r="A53" t="s">
        <v>64</v>
      </c>
      <c r="B53" s="2">
        <v>0.26208651291187579</v>
      </c>
      <c r="C53" s="2">
        <f t="shared" si="0"/>
        <v>5.2417302582375161E-2</v>
      </c>
      <c r="D53" s="2">
        <v>164461</v>
      </c>
      <c r="E53" s="2">
        <f t="shared" si="1"/>
        <v>49338.299999999996</v>
      </c>
      <c r="F53" s="2">
        <f t="shared" si="2"/>
        <v>41115.25</v>
      </c>
      <c r="G53" s="2">
        <f t="shared" si="3"/>
        <v>8223.0500000000011</v>
      </c>
      <c r="H53" s="2">
        <v>43103.01</v>
      </c>
      <c r="I53" s="2">
        <f t="shared" si="4"/>
        <v>21551.505000000001</v>
      </c>
      <c r="J53" s="2">
        <f xml:space="preserve"> Table1[[#This Row],[Diesel (R)]]</f>
        <v>20.260000000000002</v>
      </c>
      <c r="K53" t="str">
        <f xml:space="preserve"> Table1[[#This Row],[Diesel (R) Budget]]</f>
        <v>22.11</v>
      </c>
      <c r="L53" s="2">
        <v>20.260000000000002</v>
      </c>
      <c r="M53" t="s">
        <v>418</v>
      </c>
    </row>
    <row r="54" spans="1:13" x14ac:dyDescent="0.3">
      <c r="A54" t="s">
        <v>65</v>
      </c>
      <c r="B54" s="2">
        <v>0.29576460496890605</v>
      </c>
      <c r="C54" s="2">
        <f t="shared" si="0"/>
        <v>5.9152920993781215E-2</v>
      </c>
      <c r="D54" s="2">
        <v>163215</v>
      </c>
      <c r="E54" s="2">
        <f t="shared" si="1"/>
        <v>48964.5</v>
      </c>
      <c r="F54" s="2">
        <f t="shared" si="2"/>
        <v>40803.75</v>
      </c>
      <c r="G54" s="2">
        <f t="shared" si="3"/>
        <v>8160.75</v>
      </c>
      <c r="H54" s="2">
        <v>48273.22</v>
      </c>
      <c r="I54" s="2">
        <f t="shared" si="4"/>
        <v>24136.61</v>
      </c>
      <c r="J54" s="2">
        <f xml:space="preserve"> Table1[[#This Row],[Diesel (R)]]</f>
        <v>23.22</v>
      </c>
      <c r="K54" t="str">
        <f xml:space="preserve"> Table1[[#This Row],[Diesel (R) Budget]]</f>
        <v>21.84</v>
      </c>
      <c r="L54" s="2">
        <v>23.22</v>
      </c>
      <c r="M54" t="s">
        <v>361</v>
      </c>
    </row>
    <row r="55" spans="1:13" x14ac:dyDescent="0.3">
      <c r="A55" t="s">
        <v>66</v>
      </c>
      <c r="B55" s="2">
        <v>0.30066329831479716</v>
      </c>
      <c r="C55" s="2">
        <f t="shared" si="0"/>
        <v>6.0132659662959435E-2</v>
      </c>
      <c r="D55" s="2">
        <v>162295</v>
      </c>
      <c r="E55" s="2">
        <f t="shared" si="1"/>
        <v>48688.5</v>
      </c>
      <c r="F55" s="2">
        <f t="shared" si="2"/>
        <v>40573.75</v>
      </c>
      <c r="G55" s="2">
        <f t="shared" si="3"/>
        <v>8114.75</v>
      </c>
      <c r="H55" s="2">
        <v>48796.15</v>
      </c>
      <c r="I55" s="2">
        <f t="shared" si="4"/>
        <v>24398.075000000001</v>
      </c>
      <c r="J55" s="2">
        <f xml:space="preserve"> Table1[[#This Row],[Diesel (R)]]</f>
        <v>24.44</v>
      </c>
      <c r="K55" t="str">
        <f xml:space="preserve"> Table1[[#This Row],[Diesel (R) Budget]]</f>
        <v>23.66</v>
      </c>
      <c r="L55" s="2">
        <v>24.44</v>
      </c>
      <c r="M55" t="s">
        <v>419</v>
      </c>
    </row>
    <row r="56" spans="1:13" x14ac:dyDescent="0.3">
      <c r="A56" t="s">
        <v>67</v>
      </c>
      <c r="B56" s="2">
        <v>0.33534990499330281</v>
      </c>
      <c r="C56" s="2">
        <f t="shared" si="0"/>
        <v>6.7069980998660558E-2</v>
      </c>
      <c r="D56" s="2">
        <v>160515</v>
      </c>
      <c r="E56" s="2">
        <f t="shared" si="1"/>
        <v>48154.5</v>
      </c>
      <c r="F56" s="2">
        <f t="shared" si="2"/>
        <v>40128.75</v>
      </c>
      <c r="G56" s="2">
        <f t="shared" si="3"/>
        <v>8025.75</v>
      </c>
      <c r="H56" s="2">
        <v>53828.69</v>
      </c>
      <c r="I56" s="2">
        <f t="shared" si="4"/>
        <v>26914.345000000001</v>
      </c>
      <c r="J56" s="2">
        <f xml:space="preserve"> Table1[[#This Row],[Diesel (R)]]</f>
        <v>22.03</v>
      </c>
      <c r="K56" t="str">
        <f xml:space="preserve"> Table1[[#This Row],[Diesel (R) Budget]]</f>
        <v>17.93</v>
      </c>
      <c r="L56" s="2">
        <v>22.03</v>
      </c>
      <c r="M56" t="s">
        <v>420</v>
      </c>
    </row>
    <row r="57" spans="1:13" x14ac:dyDescent="0.3">
      <c r="A57" t="s">
        <v>68</v>
      </c>
      <c r="B57" s="2">
        <v>0.34219390931490751</v>
      </c>
      <c r="C57" s="2">
        <f t="shared" si="0"/>
        <v>6.843878186298151E-2</v>
      </c>
      <c r="D57" s="2">
        <v>114043</v>
      </c>
      <c r="E57" s="2">
        <f t="shared" si="1"/>
        <v>34212.9</v>
      </c>
      <c r="F57" s="2">
        <f t="shared" si="2"/>
        <v>28510.75</v>
      </c>
      <c r="G57" s="2">
        <f t="shared" si="3"/>
        <v>5702.1500000000005</v>
      </c>
      <c r="H57" s="2">
        <v>39024.82</v>
      </c>
      <c r="I57" s="2">
        <f t="shared" si="4"/>
        <v>19512.41</v>
      </c>
      <c r="J57" s="2">
        <f xml:space="preserve"> Table1[[#This Row],[Diesel (R)]]</f>
        <v>21.56</v>
      </c>
      <c r="K57" t="str">
        <f xml:space="preserve"> Table1[[#This Row],[Diesel (R) Budget]]</f>
        <v>24.48</v>
      </c>
      <c r="L57" s="2">
        <v>21.56</v>
      </c>
      <c r="M57" t="s">
        <v>360</v>
      </c>
    </row>
    <row r="58" spans="1:13" x14ac:dyDescent="0.3">
      <c r="A58" t="s">
        <v>69</v>
      </c>
      <c r="B58" s="2">
        <v>0.34398322454886443</v>
      </c>
      <c r="C58" s="2">
        <f t="shared" si="0"/>
        <v>6.8796644909772886E-2</v>
      </c>
      <c r="D58" s="2">
        <v>169295</v>
      </c>
      <c r="E58" s="2">
        <f t="shared" si="1"/>
        <v>50788.5</v>
      </c>
      <c r="F58" s="2">
        <f t="shared" si="2"/>
        <v>42323.75</v>
      </c>
      <c r="G58" s="2">
        <f t="shared" si="3"/>
        <v>8464.75</v>
      </c>
      <c r="H58" s="2">
        <v>58234.64</v>
      </c>
      <c r="I58" s="2">
        <f t="shared" si="4"/>
        <v>29117.32</v>
      </c>
      <c r="J58" s="2">
        <f xml:space="preserve"> Table1[[#This Row],[Diesel (R)]]</f>
        <v>17.66</v>
      </c>
      <c r="K58" t="str">
        <f xml:space="preserve"> Table1[[#This Row],[Diesel (R) Budget]]</f>
        <v>20.12</v>
      </c>
      <c r="L58" s="2">
        <v>17.66</v>
      </c>
      <c r="M58" t="s">
        <v>287</v>
      </c>
    </row>
    <row r="59" spans="1:13" x14ac:dyDescent="0.3">
      <c r="A59" t="s">
        <v>70</v>
      </c>
      <c r="B59" s="2">
        <v>0.3047701682128493</v>
      </c>
      <c r="C59" s="2">
        <f t="shared" si="0"/>
        <v>6.0954033642569863E-2</v>
      </c>
      <c r="D59" s="2">
        <v>124069</v>
      </c>
      <c r="E59" s="2">
        <f t="shared" si="1"/>
        <v>37220.699999999997</v>
      </c>
      <c r="F59" s="2">
        <f t="shared" si="2"/>
        <v>31017.25</v>
      </c>
      <c r="G59" s="2">
        <f t="shared" si="3"/>
        <v>6203.4500000000007</v>
      </c>
      <c r="H59" s="2">
        <v>37812.53</v>
      </c>
      <c r="I59" s="2">
        <f t="shared" si="4"/>
        <v>18906.264999999999</v>
      </c>
      <c r="J59" s="2">
        <f xml:space="preserve"> Table1[[#This Row],[Diesel (R)]]</f>
        <v>18.260000000000002</v>
      </c>
      <c r="K59" t="str">
        <f xml:space="preserve"> Table1[[#This Row],[Diesel (R) Budget]]</f>
        <v>19.45</v>
      </c>
      <c r="L59" s="2">
        <v>18.260000000000002</v>
      </c>
      <c r="M59" t="s">
        <v>421</v>
      </c>
    </row>
    <row r="60" spans="1:13" x14ac:dyDescent="0.3">
      <c r="A60" t="s">
        <v>71</v>
      </c>
      <c r="B60" s="2">
        <v>0.36127467993356621</v>
      </c>
      <c r="C60" s="2">
        <f t="shared" si="0"/>
        <v>7.2254935986713245E-2</v>
      </c>
      <c r="D60" s="2">
        <v>134269</v>
      </c>
      <c r="E60" s="2">
        <f t="shared" si="1"/>
        <v>40280.699999999997</v>
      </c>
      <c r="F60" s="2">
        <f t="shared" si="2"/>
        <v>33567.25</v>
      </c>
      <c r="G60" s="2">
        <f t="shared" si="3"/>
        <v>6713.4500000000007</v>
      </c>
      <c r="H60" s="2">
        <v>48507.99</v>
      </c>
      <c r="I60" s="2">
        <f t="shared" si="4"/>
        <v>24253.994999999999</v>
      </c>
      <c r="J60" s="2">
        <f xml:space="preserve"> Table1[[#This Row],[Diesel (R)]]</f>
        <v>23.84</v>
      </c>
      <c r="K60" t="str">
        <f xml:space="preserve"> Table1[[#This Row],[Diesel (R) Budget]]</f>
        <v>23.85</v>
      </c>
      <c r="L60" s="2">
        <v>23.84</v>
      </c>
      <c r="M60" t="s">
        <v>349</v>
      </c>
    </row>
    <row r="61" spans="1:13" x14ac:dyDescent="0.3">
      <c r="A61" t="s">
        <v>72</v>
      </c>
      <c r="B61" s="2">
        <v>0.30029726490138386</v>
      </c>
      <c r="C61" s="2">
        <f t="shared" si="0"/>
        <v>6.0059452980276776E-2</v>
      </c>
      <c r="D61" s="2">
        <v>137655</v>
      </c>
      <c r="E61" s="2">
        <f t="shared" si="1"/>
        <v>41296.5</v>
      </c>
      <c r="F61" s="2">
        <f t="shared" si="2"/>
        <v>34413.75</v>
      </c>
      <c r="G61" s="2">
        <f t="shared" si="3"/>
        <v>6882.75</v>
      </c>
      <c r="H61" s="2">
        <v>41337.42</v>
      </c>
      <c r="I61" s="2">
        <f t="shared" si="4"/>
        <v>20668.71</v>
      </c>
      <c r="J61" s="2">
        <f xml:space="preserve"> Table1[[#This Row],[Diesel (R)]]</f>
        <v>22.19</v>
      </c>
      <c r="K61" t="str">
        <f xml:space="preserve"> Table1[[#This Row],[Diesel (R) Budget]]</f>
        <v>21.26</v>
      </c>
      <c r="L61" s="2">
        <v>22.19</v>
      </c>
      <c r="M61" t="s">
        <v>422</v>
      </c>
    </row>
    <row r="62" spans="1:13" x14ac:dyDescent="0.3">
      <c r="A62" t="s">
        <v>73</v>
      </c>
      <c r="B62" s="2">
        <v>0.31836815305048649</v>
      </c>
      <c r="C62" s="2">
        <f t="shared" si="0"/>
        <v>6.3673630610097301E-2</v>
      </c>
      <c r="D62" s="2">
        <v>200509</v>
      </c>
      <c r="E62" s="2">
        <f t="shared" si="1"/>
        <v>60152.7</v>
      </c>
      <c r="F62" s="2">
        <f t="shared" si="2"/>
        <v>50127.25</v>
      </c>
      <c r="G62" s="2">
        <f t="shared" si="3"/>
        <v>10025.450000000001</v>
      </c>
      <c r="H62" s="2">
        <v>63835.68</v>
      </c>
      <c r="I62" s="2">
        <f t="shared" si="4"/>
        <v>31917.84</v>
      </c>
      <c r="J62" s="2">
        <f xml:space="preserve"> Table1[[#This Row],[Diesel (R)]]</f>
        <v>20.14</v>
      </c>
      <c r="K62" t="str">
        <f xml:space="preserve"> Table1[[#This Row],[Diesel (R) Budget]]</f>
        <v>18.74</v>
      </c>
      <c r="L62" s="2">
        <v>20.14</v>
      </c>
      <c r="M62" t="s">
        <v>308</v>
      </c>
    </row>
    <row r="63" spans="1:13" x14ac:dyDescent="0.3">
      <c r="A63" t="s">
        <v>74</v>
      </c>
      <c r="B63" s="2">
        <v>0.37077497665732961</v>
      </c>
      <c r="C63" s="2">
        <f t="shared" si="0"/>
        <v>7.4154995331465925E-2</v>
      </c>
      <c r="D63" s="2">
        <v>48195</v>
      </c>
      <c r="E63" s="2">
        <f t="shared" si="1"/>
        <v>14458.5</v>
      </c>
      <c r="F63" s="2">
        <f t="shared" si="2"/>
        <v>12048.75</v>
      </c>
      <c r="G63" s="2">
        <f t="shared" si="3"/>
        <v>2409.75</v>
      </c>
      <c r="H63" s="2">
        <v>17869.5</v>
      </c>
      <c r="I63" s="2">
        <f t="shared" si="4"/>
        <v>8934.75</v>
      </c>
      <c r="J63" s="2">
        <f xml:space="preserve"> Table1[[#This Row],[Diesel (R)]]</f>
        <v>19.940000000000001</v>
      </c>
      <c r="K63" t="str">
        <f xml:space="preserve"> Table1[[#This Row],[Diesel (R) Budget]]</f>
        <v>24.57</v>
      </c>
      <c r="L63" s="2">
        <v>19.940000000000001</v>
      </c>
      <c r="M63" t="s">
        <v>386</v>
      </c>
    </row>
    <row r="64" spans="1:13" x14ac:dyDescent="0.3">
      <c r="A64" t="s">
        <v>75</v>
      </c>
      <c r="B64" s="2">
        <v>0.25421503312255345</v>
      </c>
      <c r="C64" s="2">
        <f t="shared" si="0"/>
        <v>5.0843006624510689E-2</v>
      </c>
      <c r="D64" s="2">
        <v>159408</v>
      </c>
      <c r="E64" s="2">
        <f t="shared" si="1"/>
        <v>47822.400000000001</v>
      </c>
      <c r="F64" s="2">
        <f t="shared" si="2"/>
        <v>39852</v>
      </c>
      <c r="G64" s="2">
        <f t="shared" si="3"/>
        <v>7970.4000000000005</v>
      </c>
      <c r="H64" s="2">
        <v>40523.910000000003</v>
      </c>
      <c r="I64" s="2">
        <f t="shared" si="4"/>
        <v>20261.955000000002</v>
      </c>
      <c r="J64" s="2">
        <f xml:space="preserve"> Table1[[#This Row],[Diesel (R)]]</f>
        <v>24.08</v>
      </c>
      <c r="K64" t="str">
        <f xml:space="preserve"> Table1[[#This Row],[Diesel (R) Budget]]</f>
        <v>19.33</v>
      </c>
      <c r="L64" s="2">
        <v>24.08</v>
      </c>
      <c r="M64" t="s">
        <v>315</v>
      </c>
    </row>
    <row r="65" spans="1:13" x14ac:dyDescent="0.3">
      <c r="A65" t="s">
        <v>76</v>
      </c>
      <c r="B65" s="2">
        <v>0.26697974905402744</v>
      </c>
      <c r="C65" s="2">
        <f t="shared" si="0"/>
        <v>5.339594981080549E-2</v>
      </c>
      <c r="D65" s="2">
        <v>147203</v>
      </c>
      <c r="E65" s="2">
        <f t="shared" si="1"/>
        <v>44160.9</v>
      </c>
      <c r="F65" s="2">
        <f t="shared" si="2"/>
        <v>36800.75</v>
      </c>
      <c r="G65" s="2">
        <f t="shared" si="3"/>
        <v>7360.1500000000005</v>
      </c>
      <c r="H65" s="2">
        <v>39300.22</v>
      </c>
      <c r="I65" s="2">
        <f t="shared" si="4"/>
        <v>19650.11</v>
      </c>
      <c r="J65" s="2">
        <f xml:space="preserve"> Table1[[#This Row],[Diesel (R)]]</f>
        <v>23.47</v>
      </c>
      <c r="K65" t="str">
        <f xml:space="preserve"> Table1[[#This Row],[Diesel (R) Budget]]</f>
        <v>22.38</v>
      </c>
      <c r="L65" s="2">
        <v>23.47</v>
      </c>
      <c r="M65" t="s">
        <v>423</v>
      </c>
    </row>
    <row r="66" spans="1:13" x14ac:dyDescent="0.3">
      <c r="A66" t="s">
        <v>77</v>
      </c>
      <c r="B66" s="2">
        <v>0.37343514296852487</v>
      </c>
      <c r="C66" s="2">
        <f t="shared" ref="C66:C129" si="5">B66*0.2</f>
        <v>7.4687028593704977E-2</v>
      </c>
      <c r="D66" s="2">
        <v>117998</v>
      </c>
      <c r="E66" s="2">
        <f t="shared" ref="E66:E129" si="6">D66*0.3</f>
        <v>35399.4</v>
      </c>
      <c r="F66" s="2">
        <f t="shared" ref="F66:F129" si="7">D66/4</f>
        <v>29499.5</v>
      </c>
      <c r="G66" s="2">
        <f t="shared" ref="G66:G129" si="8">F66*0.2</f>
        <v>5899.9000000000005</v>
      </c>
      <c r="H66" s="2">
        <v>44064.6</v>
      </c>
      <c r="I66" s="2">
        <f t="shared" ref="I66:I129" si="9">H66*0.5</f>
        <v>22032.3</v>
      </c>
      <c r="J66" s="2">
        <f xml:space="preserve"> Table1[[#This Row],[Diesel (R)]]</f>
        <v>21.33</v>
      </c>
      <c r="K66" t="str">
        <f xml:space="preserve"> Table1[[#This Row],[Diesel (R) Budget]]</f>
        <v>21.95</v>
      </c>
      <c r="L66" s="2">
        <v>21.33</v>
      </c>
      <c r="M66" t="s">
        <v>424</v>
      </c>
    </row>
    <row r="67" spans="1:13" x14ac:dyDescent="0.3">
      <c r="A67" t="s">
        <v>78</v>
      </c>
      <c r="B67" s="2">
        <v>0.27898414035261554</v>
      </c>
      <c r="C67" s="2">
        <f t="shared" si="5"/>
        <v>5.5796828070523108E-2</v>
      </c>
      <c r="D67" s="2">
        <v>161479</v>
      </c>
      <c r="E67" s="2">
        <f t="shared" si="6"/>
        <v>48443.7</v>
      </c>
      <c r="F67" s="2">
        <f t="shared" si="7"/>
        <v>40369.75</v>
      </c>
      <c r="G67" s="2">
        <f t="shared" si="8"/>
        <v>8073.9500000000007</v>
      </c>
      <c r="H67" s="2">
        <v>45050.080000000002</v>
      </c>
      <c r="I67" s="2">
        <f t="shared" si="9"/>
        <v>22525.040000000001</v>
      </c>
      <c r="J67" s="2">
        <f xml:space="preserve"> Table1[[#This Row],[Diesel (R)]]</f>
        <v>16.97</v>
      </c>
      <c r="K67" t="str">
        <f xml:space="preserve"> Table1[[#This Row],[Diesel (R) Budget]]</f>
        <v>23.04</v>
      </c>
      <c r="L67" s="2">
        <v>16.97</v>
      </c>
      <c r="M67" t="s">
        <v>425</v>
      </c>
    </row>
    <row r="68" spans="1:13" x14ac:dyDescent="0.3">
      <c r="A68" t="s">
        <v>79</v>
      </c>
      <c r="B68" s="2">
        <v>0.27329116482514149</v>
      </c>
      <c r="C68" s="2">
        <f t="shared" si="5"/>
        <v>5.4658232965028301E-2</v>
      </c>
      <c r="D68" s="2">
        <v>192956</v>
      </c>
      <c r="E68" s="2">
        <f t="shared" si="6"/>
        <v>57886.799999999996</v>
      </c>
      <c r="F68" s="2">
        <f t="shared" si="7"/>
        <v>48239</v>
      </c>
      <c r="G68" s="2">
        <f t="shared" si="8"/>
        <v>9647.8000000000011</v>
      </c>
      <c r="H68" s="2">
        <v>52733.17</v>
      </c>
      <c r="I68" s="2">
        <f t="shared" si="9"/>
        <v>26366.584999999999</v>
      </c>
      <c r="J68" s="2">
        <f xml:space="preserve"> Table1[[#This Row],[Diesel (R)]]</f>
        <v>18.39</v>
      </c>
      <c r="K68" t="str">
        <f xml:space="preserve"> Table1[[#This Row],[Diesel (R) Budget]]</f>
        <v>17.72</v>
      </c>
      <c r="L68" s="2">
        <v>18.39</v>
      </c>
      <c r="M68" t="s">
        <v>426</v>
      </c>
    </row>
    <row r="69" spans="1:13" x14ac:dyDescent="0.3">
      <c r="A69" t="s">
        <v>80</v>
      </c>
      <c r="B69" s="2">
        <v>0.33376833952521878</v>
      </c>
      <c r="C69" s="2">
        <f t="shared" si="5"/>
        <v>6.6753667905043765E-2</v>
      </c>
      <c r="D69" s="2">
        <v>127048</v>
      </c>
      <c r="E69" s="2">
        <f t="shared" si="6"/>
        <v>38114.400000000001</v>
      </c>
      <c r="F69" s="2">
        <f t="shared" si="7"/>
        <v>31762</v>
      </c>
      <c r="G69" s="2">
        <f t="shared" si="8"/>
        <v>6352.4000000000005</v>
      </c>
      <c r="H69" s="2">
        <v>42404.6</v>
      </c>
      <c r="I69" s="2">
        <f t="shared" si="9"/>
        <v>21202.3</v>
      </c>
      <c r="J69" s="2">
        <f xml:space="preserve"> Table1[[#This Row],[Diesel (R)]]</f>
        <v>20.52</v>
      </c>
      <c r="K69" t="str">
        <f xml:space="preserve"> Table1[[#This Row],[Diesel (R) Budget]]</f>
        <v>24.23</v>
      </c>
      <c r="L69" s="2">
        <v>20.52</v>
      </c>
      <c r="M69" t="s">
        <v>322</v>
      </c>
    </row>
    <row r="70" spans="1:13" x14ac:dyDescent="0.3">
      <c r="A70" t="s">
        <v>81</v>
      </c>
      <c r="B70" s="2">
        <v>0.3617464442698845</v>
      </c>
      <c r="C70" s="2">
        <f t="shared" si="5"/>
        <v>7.2349288853976901E-2</v>
      </c>
      <c r="D70" s="2">
        <v>119666</v>
      </c>
      <c r="E70" s="2">
        <f t="shared" si="6"/>
        <v>35899.799999999996</v>
      </c>
      <c r="F70" s="2">
        <f t="shared" si="7"/>
        <v>29916.5</v>
      </c>
      <c r="G70" s="2">
        <f t="shared" si="8"/>
        <v>5983.3</v>
      </c>
      <c r="H70" s="2">
        <v>43288.75</v>
      </c>
      <c r="I70" s="2">
        <f t="shared" si="9"/>
        <v>21644.375</v>
      </c>
      <c r="J70" s="2">
        <f xml:space="preserve"> Table1[[#This Row],[Diesel (R)]]</f>
        <v>24.67</v>
      </c>
      <c r="K70" t="str">
        <f xml:space="preserve"> Table1[[#This Row],[Diesel (R) Budget]]</f>
        <v>20.69</v>
      </c>
      <c r="L70" s="2">
        <v>24.67</v>
      </c>
      <c r="M70" t="s">
        <v>427</v>
      </c>
    </row>
    <row r="71" spans="1:13" x14ac:dyDescent="0.3">
      <c r="A71" t="s">
        <v>82</v>
      </c>
      <c r="B71" s="2">
        <v>0.23588417843896864</v>
      </c>
      <c r="C71" s="2">
        <f t="shared" si="5"/>
        <v>4.7176835687793732E-2</v>
      </c>
      <c r="D71" s="2">
        <v>145327</v>
      </c>
      <c r="E71" s="2">
        <f t="shared" si="6"/>
        <v>43598.1</v>
      </c>
      <c r="F71" s="2">
        <f t="shared" si="7"/>
        <v>36331.75</v>
      </c>
      <c r="G71" s="2">
        <f t="shared" si="8"/>
        <v>7266.35</v>
      </c>
      <c r="H71" s="2">
        <v>34280.339999999997</v>
      </c>
      <c r="I71" s="2">
        <f t="shared" si="9"/>
        <v>17140.169999999998</v>
      </c>
      <c r="J71" s="2">
        <f xml:space="preserve"> Table1[[#This Row],[Diesel (R)]]</f>
        <v>19.059999999999999</v>
      </c>
      <c r="K71" t="str">
        <f xml:space="preserve"> Table1[[#This Row],[Diesel (R) Budget]]</f>
        <v>19.17</v>
      </c>
      <c r="L71" s="2">
        <v>19.059999999999999</v>
      </c>
      <c r="M71" t="s">
        <v>428</v>
      </c>
    </row>
    <row r="72" spans="1:13" x14ac:dyDescent="0.3">
      <c r="A72" t="s">
        <v>83</v>
      </c>
      <c r="B72" s="2">
        <v>0.29630273083291719</v>
      </c>
      <c r="C72" s="2">
        <f t="shared" si="5"/>
        <v>5.9260546166583439E-2</v>
      </c>
      <c r="D72" s="2">
        <v>152188</v>
      </c>
      <c r="E72" s="2">
        <f t="shared" si="6"/>
        <v>45656.4</v>
      </c>
      <c r="F72" s="2">
        <f t="shared" si="7"/>
        <v>38047</v>
      </c>
      <c r="G72" s="2">
        <f t="shared" si="8"/>
        <v>7609.4000000000005</v>
      </c>
      <c r="H72" s="2">
        <v>45093.72</v>
      </c>
      <c r="I72" s="2">
        <f t="shared" si="9"/>
        <v>22546.86</v>
      </c>
      <c r="J72" s="2">
        <f xml:space="preserve"> Table1[[#This Row],[Diesel (R)]]</f>
        <v>23.58</v>
      </c>
      <c r="K72" t="str">
        <f xml:space="preserve"> Table1[[#This Row],[Diesel (R) Budget]]</f>
        <v>23.98</v>
      </c>
      <c r="L72" s="2">
        <v>23.58</v>
      </c>
      <c r="M72" t="s">
        <v>429</v>
      </c>
    </row>
    <row r="73" spans="1:13" x14ac:dyDescent="0.3">
      <c r="A73" t="s">
        <v>84</v>
      </c>
      <c r="B73" s="2">
        <v>0.3506513727582386</v>
      </c>
      <c r="C73" s="2">
        <f t="shared" si="5"/>
        <v>7.013027455164772E-2</v>
      </c>
      <c r="D73" s="2">
        <v>121835</v>
      </c>
      <c r="E73" s="2">
        <f t="shared" si="6"/>
        <v>36550.5</v>
      </c>
      <c r="F73" s="2">
        <f t="shared" si="7"/>
        <v>30458.75</v>
      </c>
      <c r="G73" s="2">
        <f t="shared" si="8"/>
        <v>6091.75</v>
      </c>
      <c r="H73" s="2">
        <v>42721.61</v>
      </c>
      <c r="I73" s="2">
        <f t="shared" si="9"/>
        <v>21360.805</v>
      </c>
      <c r="J73" s="2">
        <f xml:space="preserve"> Table1[[#This Row],[Diesel (R)]]</f>
        <v>18.739999999999998</v>
      </c>
      <c r="K73" t="str">
        <f xml:space="preserve"> Table1[[#This Row],[Diesel (R) Budget]]</f>
        <v>21.52</v>
      </c>
      <c r="L73" s="2">
        <v>18.739999999999998</v>
      </c>
      <c r="M73" t="s">
        <v>430</v>
      </c>
    </row>
    <row r="74" spans="1:13" x14ac:dyDescent="0.3">
      <c r="A74" t="s">
        <v>85</v>
      </c>
      <c r="B74" s="2">
        <v>0.30549855416326832</v>
      </c>
      <c r="C74" s="2">
        <f t="shared" si="5"/>
        <v>6.109971083265367E-2</v>
      </c>
      <c r="D74" s="2">
        <v>134870</v>
      </c>
      <c r="E74" s="2">
        <f t="shared" si="6"/>
        <v>40461</v>
      </c>
      <c r="F74" s="2">
        <f t="shared" si="7"/>
        <v>33717.5</v>
      </c>
      <c r="G74" s="2">
        <f t="shared" si="8"/>
        <v>6743.5</v>
      </c>
      <c r="H74" s="2">
        <v>41202.589999999997</v>
      </c>
      <c r="I74" s="2">
        <f t="shared" si="9"/>
        <v>20601.294999999998</v>
      </c>
      <c r="J74" s="2">
        <f xml:space="preserve"> Table1[[#This Row],[Diesel (R)]]</f>
        <v>21.82</v>
      </c>
      <c r="K74" t="str">
        <f xml:space="preserve"> Table1[[#This Row],[Diesel (R) Budget]]</f>
        <v>18.69</v>
      </c>
      <c r="L74" s="2">
        <v>21.82</v>
      </c>
      <c r="M74" t="s">
        <v>431</v>
      </c>
    </row>
    <row r="75" spans="1:13" x14ac:dyDescent="0.3">
      <c r="A75" t="s">
        <v>86</v>
      </c>
      <c r="B75" s="2">
        <v>0.80074002157497304</v>
      </c>
      <c r="C75" s="2">
        <f t="shared" si="5"/>
        <v>0.16014800431499462</v>
      </c>
      <c r="D75" s="2">
        <v>37080</v>
      </c>
      <c r="E75" s="2">
        <f t="shared" si="6"/>
        <v>11124</v>
      </c>
      <c r="F75" s="2">
        <f t="shared" si="7"/>
        <v>9270</v>
      </c>
      <c r="G75" s="2">
        <f t="shared" si="8"/>
        <v>1854</v>
      </c>
      <c r="H75" s="2">
        <v>29691.439999999999</v>
      </c>
      <c r="I75" s="2">
        <f t="shared" si="9"/>
        <v>14845.72</v>
      </c>
      <c r="J75" s="2">
        <f xml:space="preserve"> Table1[[#This Row],[Diesel (R)]]</f>
        <v>22.69</v>
      </c>
      <c r="K75" t="str">
        <f xml:space="preserve"> Table1[[#This Row],[Diesel (R) Budget]]</f>
        <v>24.14</v>
      </c>
      <c r="L75" s="2">
        <v>22.69</v>
      </c>
      <c r="M75" t="s">
        <v>333</v>
      </c>
    </row>
    <row r="76" spans="1:13" x14ac:dyDescent="0.3">
      <c r="A76" t="s">
        <v>87</v>
      </c>
      <c r="B76" s="2">
        <v>0.39397958093746105</v>
      </c>
      <c r="C76" s="2">
        <f t="shared" si="5"/>
        <v>7.879591618749221E-2</v>
      </c>
      <c r="D76" s="2">
        <v>112346</v>
      </c>
      <c r="E76" s="2">
        <f t="shared" si="6"/>
        <v>33703.799999999996</v>
      </c>
      <c r="F76" s="2">
        <f t="shared" si="7"/>
        <v>28086.5</v>
      </c>
      <c r="G76" s="2">
        <f t="shared" si="8"/>
        <v>5617.3</v>
      </c>
      <c r="H76" s="2">
        <v>44262.03</v>
      </c>
      <c r="I76" s="2">
        <f t="shared" si="9"/>
        <v>22131.014999999999</v>
      </c>
      <c r="J76" s="2">
        <f xml:space="preserve"> Table1[[#This Row],[Diesel (R)]]</f>
        <v>17.329999999999998</v>
      </c>
      <c r="K76" t="str">
        <f xml:space="preserve"> Table1[[#This Row],[Diesel (R) Budget]]</f>
        <v>19.86</v>
      </c>
      <c r="L76" s="2">
        <v>17.329999999999998</v>
      </c>
      <c r="M76" t="s">
        <v>432</v>
      </c>
    </row>
    <row r="77" spans="1:13" x14ac:dyDescent="0.3">
      <c r="A77" t="s">
        <v>88</v>
      </c>
      <c r="B77" s="2">
        <v>0.50741521626338371</v>
      </c>
      <c r="C77" s="2">
        <f t="shared" si="5"/>
        <v>0.10148304325267675</v>
      </c>
      <c r="D77" s="2">
        <v>42402</v>
      </c>
      <c r="E77" s="2">
        <f t="shared" si="6"/>
        <v>12720.6</v>
      </c>
      <c r="F77" s="2">
        <f t="shared" si="7"/>
        <v>10600.5</v>
      </c>
      <c r="G77" s="2">
        <f t="shared" si="8"/>
        <v>2120.1</v>
      </c>
      <c r="H77" s="2">
        <v>21515.42</v>
      </c>
      <c r="I77" s="2">
        <f t="shared" si="9"/>
        <v>10757.71</v>
      </c>
      <c r="J77" s="2">
        <f xml:space="preserve"> Table1[[#This Row],[Diesel (R)]]</f>
        <v>24.11</v>
      </c>
      <c r="K77" t="str">
        <f xml:space="preserve"> Table1[[#This Row],[Diesel (R) Budget]]</f>
        <v>22.93</v>
      </c>
      <c r="L77" s="2">
        <v>24.11</v>
      </c>
      <c r="M77" t="s">
        <v>433</v>
      </c>
    </row>
    <row r="78" spans="1:13" x14ac:dyDescent="0.3">
      <c r="A78" t="s">
        <v>89</v>
      </c>
      <c r="B78" s="2">
        <v>0.28076486357403668</v>
      </c>
      <c r="C78" s="2">
        <f t="shared" si="5"/>
        <v>5.6152972714807341E-2</v>
      </c>
      <c r="D78" s="2">
        <v>129814</v>
      </c>
      <c r="E78" s="2">
        <f t="shared" si="6"/>
        <v>38944.199999999997</v>
      </c>
      <c r="F78" s="2">
        <f t="shared" si="7"/>
        <v>32453.5</v>
      </c>
      <c r="G78" s="2">
        <f t="shared" si="8"/>
        <v>6490.7000000000007</v>
      </c>
      <c r="H78" s="2">
        <v>36447.21</v>
      </c>
      <c r="I78" s="2">
        <f t="shared" si="9"/>
        <v>18223.605</v>
      </c>
      <c r="J78" s="2">
        <f xml:space="preserve"> Table1[[#This Row],[Diesel (R)]]</f>
        <v>23.02</v>
      </c>
      <c r="K78" t="str">
        <f xml:space="preserve"> Table1[[#This Row],[Diesel (R) Budget]]</f>
        <v>21.37</v>
      </c>
      <c r="L78" s="2">
        <v>23.02</v>
      </c>
      <c r="M78" t="s">
        <v>434</v>
      </c>
    </row>
    <row r="79" spans="1:13" x14ac:dyDescent="0.3">
      <c r="A79" t="s">
        <v>90</v>
      </c>
      <c r="B79" s="2">
        <v>0.33037929679125277</v>
      </c>
      <c r="C79" s="2">
        <f t="shared" si="5"/>
        <v>6.6075859358250555E-2</v>
      </c>
      <c r="D79" s="2">
        <v>111944</v>
      </c>
      <c r="E79" s="2">
        <f t="shared" si="6"/>
        <v>33583.199999999997</v>
      </c>
      <c r="F79" s="2">
        <f t="shared" si="7"/>
        <v>27986</v>
      </c>
      <c r="G79" s="2">
        <f t="shared" si="8"/>
        <v>5597.2000000000007</v>
      </c>
      <c r="H79" s="2">
        <v>36983.980000000003</v>
      </c>
      <c r="I79" s="2">
        <f t="shared" si="9"/>
        <v>18491.990000000002</v>
      </c>
      <c r="J79" s="2">
        <f xml:space="preserve"> Table1[[#This Row],[Diesel (R)]]</f>
        <v>20.84</v>
      </c>
      <c r="K79" t="str">
        <f xml:space="preserve"> Table1[[#This Row],[Diesel (R) Budget]]</f>
        <v>23.62</v>
      </c>
      <c r="L79" s="2">
        <v>20.84</v>
      </c>
      <c r="M79" t="s">
        <v>435</v>
      </c>
    </row>
    <row r="80" spans="1:13" x14ac:dyDescent="0.3">
      <c r="A80" t="s">
        <v>91</v>
      </c>
      <c r="B80" s="2">
        <v>0.53910667584308325</v>
      </c>
      <c r="C80" s="2">
        <f t="shared" si="5"/>
        <v>0.10782133516861665</v>
      </c>
      <c r="D80" s="2">
        <v>58120</v>
      </c>
      <c r="E80" s="2">
        <f t="shared" si="6"/>
        <v>17436</v>
      </c>
      <c r="F80" s="2">
        <f t="shared" si="7"/>
        <v>14530</v>
      </c>
      <c r="G80" s="2">
        <f t="shared" si="8"/>
        <v>2906</v>
      </c>
      <c r="H80" s="2">
        <v>31332.880000000001</v>
      </c>
      <c r="I80" s="2">
        <f t="shared" si="9"/>
        <v>15666.44</v>
      </c>
      <c r="J80" s="2">
        <f xml:space="preserve"> Table1[[#This Row],[Diesel (R)]]</f>
        <v>19.71</v>
      </c>
      <c r="K80" t="str">
        <f xml:space="preserve"> Table1[[#This Row],[Diesel (R) Budget]]</f>
        <v>17.64</v>
      </c>
      <c r="L80" s="2">
        <v>19.71</v>
      </c>
      <c r="M80" t="s">
        <v>436</v>
      </c>
    </row>
    <row r="81" spans="1:13" x14ac:dyDescent="0.3">
      <c r="A81" t="s">
        <v>92</v>
      </c>
      <c r="B81" s="2">
        <v>0.34533181595492779</v>
      </c>
      <c r="C81" s="2">
        <f t="shared" si="5"/>
        <v>6.9066363190985566E-2</v>
      </c>
      <c r="D81" s="2">
        <v>97976</v>
      </c>
      <c r="E81" s="2">
        <f t="shared" si="6"/>
        <v>29392.799999999999</v>
      </c>
      <c r="F81" s="2">
        <f t="shared" si="7"/>
        <v>24494</v>
      </c>
      <c r="G81" s="2">
        <f t="shared" si="8"/>
        <v>4898.8</v>
      </c>
      <c r="H81" s="2">
        <v>33834.230000000003</v>
      </c>
      <c r="I81" s="2">
        <f t="shared" si="9"/>
        <v>16917.115000000002</v>
      </c>
      <c r="J81" s="2">
        <f xml:space="preserve"> Table1[[#This Row],[Diesel (R)]]</f>
        <v>24.32</v>
      </c>
      <c r="K81" t="str">
        <f xml:space="preserve"> Table1[[#This Row],[Diesel (R) Budget]]</f>
        <v>24.75</v>
      </c>
      <c r="L81" s="2">
        <v>24.32</v>
      </c>
      <c r="M81" t="s">
        <v>317</v>
      </c>
    </row>
    <row r="82" spans="1:13" x14ac:dyDescent="0.3">
      <c r="A82" t="s">
        <v>93</v>
      </c>
      <c r="B82" s="2">
        <v>0.2616214014510912</v>
      </c>
      <c r="C82" s="2">
        <f t="shared" si="5"/>
        <v>5.2324280290218239E-2</v>
      </c>
      <c r="D82" s="2">
        <v>209911</v>
      </c>
      <c r="E82" s="2">
        <f t="shared" si="6"/>
        <v>62973.299999999996</v>
      </c>
      <c r="F82" s="2">
        <f t="shared" si="7"/>
        <v>52477.75</v>
      </c>
      <c r="G82" s="2">
        <f t="shared" si="8"/>
        <v>10495.550000000001</v>
      </c>
      <c r="H82" s="2">
        <v>54917.21</v>
      </c>
      <c r="I82" s="2">
        <f t="shared" si="9"/>
        <v>27458.605</v>
      </c>
      <c r="J82" s="2">
        <f xml:space="preserve"> Table1[[#This Row],[Diesel (R)]]</f>
        <v>21.98</v>
      </c>
      <c r="K82" t="str">
        <f xml:space="preserve"> Table1[[#This Row],[Diesel (R) Budget]]</f>
        <v>20.22</v>
      </c>
      <c r="L82" s="2">
        <v>21.98</v>
      </c>
      <c r="M82" t="s">
        <v>437</v>
      </c>
    </row>
    <row r="83" spans="1:13" x14ac:dyDescent="0.3">
      <c r="A83" t="s">
        <v>94</v>
      </c>
      <c r="B83" s="2">
        <v>0.4558197576438488</v>
      </c>
      <c r="C83" s="2">
        <f t="shared" si="5"/>
        <v>9.1163951528769771E-2</v>
      </c>
      <c r="D83" s="2">
        <v>87227</v>
      </c>
      <c r="E83" s="2">
        <f t="shared" si="6"/>
        <v>26168.1</v>
      </c>
      <c r="F83" s="2">
        <f t="shared" si="7"/>
        <v>21806.75</v>
      </c>
      <c r="G83" s="2">
        <f t="shared" si="8"/>
        <v>4361.3500000000004</v>
      </c>
      <c r="H83" s="2">
        <v>39759.79</v>
      </c>
      <c r="I83" s="2">
        <f t="shared" si="9"/>
        <v>19879.895</v>
      </c>
      <c r="J83" s="2">
        <f xml:space="preserve"> Table1[[#This Row],[Diesel (R)]]</f>
        <v>18.57</v>
      </c>
      <c r="K83" t="str">
        <f xml:space="preserve"> Table1[[#This Row],[Diesel (R) Budget]]</f>
        <v>19.94</v>
      </c>
      <c r="L83" s="2">
        <v>18.57</v>
      </c>
      <c r="M83" t="s">
        <v>302</v>
      </c>
    </row>
    <row r="84" spans="1:13" x14ac:dyDescent="0.3">
      <c r="A84" t="s">
        <v>95</v>
      </c>
      <c r="B84" s="2">
        <v>0.38870125451839249</v>
      </c>
      <c r="C84" s="2">
        <f t="shared" si="5"/>
        <v>7.7740250903678504E-2</v>
      </c>
      <c r="D84" s="2">
        <v>94060</v>
      </c>
      <c r="E84" s="2">
        <f t="shared" si="6"/>
        <v>28218</v>
      </c>
      <c r="F84" s="2">
        <f t="shared" si="7"/>
        <v>23515</v>
      </c>
      <c r="G84" s="2">
        <f t="shared" si="8"/>
        <v>4703</v>
      </c>
      <c r="H84" s="2">
        <v>36561.24</v>
      </c>
      <c r="I84" s="2">
        <f t="shared" si="9"/>
        <v>18280.62</v>
      </c>
      <c r="J84" s="2">
        <f xml:space="preserve"> Table1[[#This Row],[Diesel (R)]]</f>
        <v>23.64</v>
      </c>
      <c r="K84" t="str">
        <f xml:space="preserve"> Table1[[#This Row],[Diesel (R) Budget]]</f>
        <v>23.55</v>
      </c>
      <c r="L84" s="2">
        <v>23.64</v>
      </c>
      <c r="M84" t="s">
        <v>438</v>
      </c>
    </row>
    <row r="85" spans="1:13" x14ac:dyDescent="0.3">
      <c r="A85" t="s">
        <v>96</v>
      </c>
      <c r="B85" s="2">
        <v>0.28764057509103741</v>
      </c>
      <c r="C85" s="2">
        <f t="shared" si="5"/>
        <v>5.7528115018207482E-2</v>
      </c>
      <c r="D85" s="2">
        <v>143073</v>
      </c>
      <c r="E85" s="2">
        <f t="shared" si="6"/>
        <v>42921.9</v>
      </c>
      <c r="F85" s="2">
        <f t="shared" si="7"/>
        <v>35768.25</v>
      </c>
      <c r="G85" s="2">
        <f t="shared" si="8"/>
        <v>7153.6500000000005</v>
      </c>
      <c r="H85" s="2">
        <v>41153.599999999999</v>
      </c>
      <c r="I85" s="2">
        <f t="shared" si="9"/>
        <v>20576.8</v>
      </c>
      <c r="J85" s="2">
        <f xml:space="preserve"> Table1[[#This Row],[Diesel (R)]]</f>
        <v>22.27</v>
      </c>
      <c r="K85" t="str">
        <f xml:space="preserve"> Table1[[#This Row],[Diesel (R) Budget]]</f>
        <v>21.44</v>
      </c>
      <c r="L85" s="2">
        <v>22.27</v>
      </c>
      <c r="M85" t="s">
        <v>285</v>
      </c>
    </row>
    <row r="86" spans="1:13" x14ac:dyDescent="0.3">
      <c r="A86" t="s">
        <v>97</v>
      </c>
      <c r="B86" s="2">
        <v>0.25224776538376303</v>
      </c>
      <c r="C86" s="2">
        <f t="shared" si="5"/>
        <v>5.0449553076752612E-2</v>
      </c>
      <c r="D86" s="2">
        <v>135370</v>
      </c>
      <c r="E86" s="2">
        <f t="shared" si="6"/>
        <v>40611</v>
      </c>
      <c r="F86" s="2">
        <f t="shared" si="7"/>
        <v>33842.5</v>
      </c>
      <c r="G86" s="2">
        <f t="shared" si="8"/>
        <v>6768.5</v>
      </c>
      <c r="H86" s="2">
        <v>34146.78</v>
      </c>
      <c r="I86" s="2">
        <f t="shared" si="9"/>
        <v>17073.39</v>
      </c>
      <c r="J86" s="2">
        <f xml:space="preserve"> Table1[[#This Row],[Diesel (R)]]</f>
        <v>20.43</v>
      </c>
      <c r="K86" t="str">
        <f xml:space="preserve"> Table1[[#This Row],[Diesel (R) Budget]]</f>
        <v>18.57</v>
      </c>
      <c r="L86" s="2">
        <v>20.43</v>
      </c>
      <c r="M86" t="s">
        <v>314</v>
      </c>
    </row>
    <row r="87" spans="1:13" x14ac:dyDescent="0.3">
      <c r="A87" t="s">
        <v>98</v>
      </c>
      <c r="B87" s="2">
        <v>0.26923562711954924</v>
      </c>
      <c r="C87" s="2">
        <f t="shared" si="5"/>
        <v>5.3847125423909847E-2</v>
      </c>
      <c r="D87" s="2">
        <v>149796</v>
      </c>
      <c r="E87" s="2">
        <f t="shared" si="6"/>
        <v>44938.799999999996</v>
      </c>
      <c r="F87" s="2">
        <f t="shared" si="7"/>
        <v>37449</v>
      </c>
      <c r="G87" s="2">
        <f t="shared" si="8"/>
        <v>7489.8</v>
      </c>
      <c r="H87" s="2">
        <v>40330.42</v>
      </c>
      <c r="I87" s="2">
        <f t="shared" si="9"/>
        <v>20165.21</v>
      </c>
      <c r="J87" s="2">
        <f xml:space="preserve"> Table1[[#This Row],[Diesel (R)]]</f>
        <v>19.329999999999998</v>
      </c>
      <c r="K87" t="str">
        <f xml:space="preserve"> Table1[[#This Row],[Diesel (R) Budget]]</f>
        <v>24.39</v>
      </c>
      <c r="L87" s="2">
        <v>19.329999999999998</v>
      </c>
      <c r="M87" t="s">
        <v>373</v>
      </c>
    </row>
    <row r="88" spans="1:13" x14ac:dyDescent="0.3">
      <c r="A88" t="s">
        <v>99</v>
      </c>
      <c r="B88" s="2">
        <v>0.32784570687743081</v>
      </c>
      <c r="C88" s="2">
        <f t="shared" si="5"/>
        <v>6.5569141375486167E-2</v>
      </c>
      <c r="D88" s="2">
        <v>128042</v>
      </c>
      <c r="E88" s="2">
        <f t="shared" si="6"/>
        <v>38412.6</v>
      </c>
      <c r="F88" s="2">
        <f t="shared" si="7"/>
        <v>32010.5</v>
      </c>
      <c r="G88" s="2">
        <f t="shared" si="8"/>
        <v>6402.1</v>
      </c>
      <c r="H88" s="2">
        <v>41978.02</v>
      </c>
      <c r="I88" s="2">
        <f t="shared" si="9"/>
        <v>20989.01</v>
      </c>
      <c r="J88" s="2">
        <f xml:space="preserve"> Table1[[#This Row],[Diesel (R)]]</f>
        <v>17.260000000000002</v>
      </c>
      <c r="K88" t="str">
        <f xml:space="preserve"> Table1[[#This Row],[Diesel (R) Budget]]</f>
        <v>19.48</v>
      </c>
      <c r="L88" s="2">
        <v>17.260000000000002</v>
      </c>
      <c r="M88" t="s">
        <v>365</v>
      </c>
    </row>
    <row r="89" spans="1:13" x14ac:dyDescent="0.3">
      <c r="A89" t="s">
        <v>100</v>
      </c>
      <c r="B89" s="2">
        <v>0.26540947105463236</v>
      </c>
      <c r="C89" s="2">
        <f t="shared" si="5"/>
        <v>5.3081894210926475E-2</v>
      </c>
      <c r="D89" s="2">
        <v>110484</v>
      </c>
      <c r="E89" s="2">
        <f t="shared" si="6"/>
        <v>33145.199999999997</v>
      </c>
      <c r="F89" s="2">
        <f t="shared" si="7"/>
        <v>27621</v>
      </c>
      <c r="G89" s="2">
        <f t="shared" si="8"/>
        <v>5524.2000000000007</v>
      </c>
      <c r="H89" s="2">
        <v>29323.5</v>
      </c>
      <c r="I89" s="2">
        <f t="shared" si="9"/>
        <v>14661.75</v>
      </c>
      <c r="J89" s="2">
        <f xml:space="preserve"> Table1[[#This Row],[Diesel (R)]]</f>
        <v>22.91</v>
      </c>
      <c r="K89" t="str">
        <f xml:space="preserve"> Table1[[#This Row],[Diesel (R) Budget]]</f>
        <v>22.72</v>
      </c>
      <c r="L89" s="2">
        <v>22.91</v>
      </c>
      <c r="M89" t="s">
        <v>439</v>
      </c>
    </row>
    <row r="90" spans="1:13" x14ac:dyDescent="0.3">
      <c r="A90" t="s">
        <v>101</v>
      </c>
      <c r="B90" s="2">
        <v>0.27587906026301601</v>
      </c>
      <c r="C90" s="2">
        <f t="shared" si="5"/>
        <v>5.5175812052603204E-2</v>
      </c>
      <c r="D90" s="2">
        <v>159534</v>
      </c>
      <c r="E90" s="2">
        <f t="shared" si="6"/>
        <v>47860.2</v>
      </c>
      <c r="F90" s="2">
        <f t="shared" si="7"/>
        <v>39883.5</v>
      </c>
      <c r="G90" s="2">
        <f t="shared" si="8"/>
        <v>7976.7000000000007</v>
      </c>
      <c r="H90" s="2">
        <v>44012.09</v>
      </c>
      <c r="I90" s="2">
        <f t="shared" si="9"/>
        <v>22006.044999999998</v>
      </c>
      <c r="J90" s="2">
        <f xml:space="preserve"> Table1[[#This Row],[Diesel (R)]]</f>
        <v>24.75</v>
      </c>
      <c r="K90" t="str">
        <f xml:space="preserve"> Table1[[#This Row],[Diesel (R) Budget]]</f>
        <v>21.11</v>
      </c>
      <c r="L90" s="2">
        <v>24.75</v>
      </c>
      <c r="M90" t="s">
        <v>346</v>
      </c>
    </row>
    <row r="91" spans="1:13" x14ac:dyDescent="0.3">
      <c r="A91" t="s">
        <v>102</v>
      </c>
      <c r="B91" s="2">
        <v>0.36853069774401093</v>
      </c>
      <c r="C91" s="2">
        <f t="shared" si="5"/>
        <v>7.3706139548802188E-2</v>
      </c>
      <c r="D91" s="2">
        <v>120302</v>
      </c>
      <c r="E91" s="2">
        <f t="shared" si="6"/>
        <v>36090.6</v>
      </c>
      <c r="F91" s="2">
        <f t="shared" si="7"/>
        <v>30075.5</v>
      </c>
      <c r="G91" s="2">
        <f t="shared" si="8"/>
        <v>6015.1</v>
      </c>
      <c r="H91" s="2">
        <v>44334.98</v>
      </c>
      <c r="I91" s="2">
        <f t="shared" si="9"/>
        <v>22167.49</v>
      </c>
      <c r="J91" s="2">
        <f xml:space="preserve"> Table1[[#This Row],[Diesel (R)]]</f>
        <v>20.68</v>
      </c>
      <c r="K91" t="str">
        <f xml:space="preserve"> Table1[[#This Row],[Diesel (R) Budget]]</f>
        <v>23.83</v>
      </c>
      <c r="L91" s="2">
        <v>20.68</v>
      </c>
      <c r="M91" t="s">
        <v>440</v>
      </c>
    </row>
    <row r="92" spans="1:13" x14ac:dyDescent="0.3">
      <c r="A92" t="s">
        <v>103</v>
      </c>
      <c r="B92" s="2">
        <v>0.27353437858028473</v>
      </c>
      <c r="C92" s="2">
        <f t="shared" si="5"/>
        <v>5.4706875716056952E-2</v>
      </c>
      <c r="D92" s="2">
        <v>127434</v>
      </c>
      <c r="E92" s="2">
        <f t="shared" si="6"/>
        <v>38230.199999999997</v>
      </c>
      <c r="F92" s="2">
        <f t="shared" si="7"/>
        <v>31858.5</v>
      </c>
      <c r="G92" s="2">
        <f t="shared" si="8"/>
        <v>6371.7000000000007</v>
      </c>
      <c r="H92" s="2">
        <v>34857.58</v>
      </c>
      <c r="I92" s="2">
        <f t="shared" si="9"/>
        <v>17428.79</v>
      </c>
      <c r="J92" s="2">
        <f xml:space="preserve"> Table1[[#This Row],[Diesel (R)]]</f>
        <v>18.03</v>
      </c>
      <c r="K92" t="str">
        <f xml:space="preserve"> Table1[[#This Row],[Diesel (R) Budget]]</f>
        <v>17.88</v>
      </c>
      <c r="L92" s="2">
        <v>18.03</v>
      </c>
      <c r="M92" t="s">
        <v>348</v>
      </c>
    </row>
    <row r="93" spans="1:13" x14ac:dyDescent="0.3">
      <c r="A93" t="s">
        <v>104</v>
      </c>
      <c r="B93" s="2">
        <v>0.38383878512829461</v>
      </c>
      <c r="C93" s="2">
        <f t="shared" si="5"/>
        <v>7.6767757025658925E-2</v>
      </c>
      <c r="D93" s="2">
        <v>143225</v>
      </c>
      <c r="E93" s="2">
        <f t="shared" si="6"/>
        <v>42967.5</v>
      </c>
      <c r="F93" s="2">
        <f t="shared" si="7"/>
        <v>35806.25</v>
      </c>
      <c r="G93" s="2">
        <f t="shared" si="8"/>
        <v>7161.25</v>
      </c>
      <c r="H93" s="2">
        <v>54975.31</v>
      </c>
      <c r="I93" s="2">
        <f t="shared" si="9"/>
        <v>27487.654999999999</v>
      </c>
      <c r="J93" s="2">
        <f xml:space="preserve"> Table1[[#This Row],[Diesel (R)]]</f>
        <v>21.61</v>
      </c>
      <c r="K93" t="str">
        <f xml:space="preserve"> Table1[[#This Row],[Diesel (R) Budget]]</f>
        <v>24.52</v>
      </c>
      <c r="L93" s="2">
        <v>21.61</v>
      </c>
      <c r="M93" t="s">
        <v>441</v>
      </c>
    </row>
    <row r="94" spans="1:13" x14ac:dyDescent="0.3">
      <c r="A94" t="s">
        <v>105</v>
      </c>
      <c r="B94" s="2">
        <v>0.3051570704958409</v>
      </c>
      <c r="C94" s="2">
        <f t="shared" si="5"/>
        <v>6.103141409916818E-2</v>
      </c>
      <c r="D94" s="2">
        <v>129114</v>
      </c>
      <c r="E94" s="2">
        <f t="shared" si="6"/>
        <v>38734.199999999997</v>
      </c>
      <c r="F94" s="2">
        <f t="shared" si="7"/>
        <v>32278.5</v>
      </c>
      <c r="G94" s="2">
        <f t="shared" si="8"/>
        <v>6455.7000000000007</v>
      </c>
      <c r="H94" s="2">
        <v>39400.050000000003</v>
      </c>
      <c r="I94" s="2">
        <f t="shared" si="9"/>
        <v>19700.025000000001</v>
      </c>
      <c r="J94" s="2">
        <f xml:space="preserve"> Table1[[#This Row],[Diesel (R)]]</f>
        <v>23.95</v>
      </c>
      <c r="K94" t="str">
        <f xml:space="preserve"> Table1[[#This Row],[Diesel (R) Budget]]</f>
        <v>20.58</v>
      </c>
      <c r="L94" s="2">
        <v>23.95</v>
      </c>
      <c r="M94" t="s">
        <v>377</v>
      </c>
    </row>
    <row r="95" spans="1:13" x14ac:dyDescent="0.3">
      <c r="A95" t="s">
        <v>106</v>
      </c>
      <c r="B95" s="2">
        <v>0.3607543183630082</v>
      </c>
      <c r="C95" s="2">
        <f t="shared" si="5"/>
        <v>7.2150863672601637E-2</v>
      </c>
      <c r="D95" s="2">
        <v>150520</v>
      </c>
      <c r="E95" s="2">
        <f t="shared" si="6"/>
        <v>45156</v>
      </c>
      <c r="F95" s="2">
        <f t="shared" si="7"/>
        <v>37630</v>
      </c>
      <c r="G95" s="2">
        <f t="shared" si="8"/>
        <v>7526</v>
      </c>
      <c r="H95" s="2">
        <v>54300.74</v>
      </c>
      <c r="I95" s="2">
        <f t="shared" si="9"/>
        <v>27150.37</v>
      </c>
      <c r="J95" s="2">
        <f xml:space="preserve"> Table1[[#This Row],[Diesel (R)]]</f>
        <v>19.46</v>
      </c>
      <c r="K95" t="str">
        <f xml:space="preserve"> Table1[[#This Row],[Diesel (R) Budget]]</f>
        <v>19.29</v>
      </c>
      <c r="L95" s="2">
        <v>19.46</v>
      </c>
      <c r="M95" t="s">
        <v>442</v>
      </c>
    </row>
    <row r="96" spans="1:13" x14ac:dyDescent="0.3">
      <c r="A96" t="s">
        <v>107</v>
      </c>
      <c r="B96" s="2">
        <v>0.74269709098706316</v>
      </c>
      <c r="C96" s="2">
        <f t="shared" si="5"/>
        <v>0.14853941819741265</v>
      </c>
      <c r="D96" s="2">
        <v>27982</v>
      </c>
      <c r="E96" s="2">
        <f t="shared" si="6"/>
        <v>8394.6</v>
      </c>
      <c r="F96" s="2">
        <f t="shared" si="7"/>
        <v>6995.5</v>
      </c>
      <c r="G96" s="2">
        <f t="shared" si="8"/>
        <v>1399.1000000000001</v>
      </c>
      <c r="H96" s="2">
        <v>20782.150000000001</v>
      </c>
      <c r="I96" s="2">
        <f t="shared" si="9"/>
        <v>10391.075000000001</v>
      </c>
      <c r="J96" s="2">
        <f xml:space="preserve"> Table1[[#This Row],[Diesel (R)]]</f>
        <v>17.78</v>
      </c>
      <c r="K96" t="str">
        <f xml:space="preserve"> Table1[[#This Row],[Diesel (R) Budget]]</f>
        <v>23.47</v>
      </c>
      <c r="L96" s="2">
        <v>17.78</v>
      </c>
      <c r="M96" t="s">
        <v>304</v>
      </c>
    </row>
    <row r="97" spans="1:13" x14ac:dyDescent="0.3">
      <c r="A97" t="s">
        <v>108</v>
      </c>
      <c r="B97" s="2">
        <v>0.71557112249650678</v>
      </c>
      <c r="C97" s="2">
        <f t="shared" si="5"/>
        <v>0.14311422449930136</v>
      </c>
      <c r="D97" s="2">
        <v>53675</v>
      </c>
      <c r="E97" s="2">
        <f t="shared" si="6"/>
        <v>16102.5</v>
      </c>
      <c r="F97" s="2">
        <f t="shared" si="7"/>
        <v>13418.75</v>
      </c>
      <c r="G97" s="2">
        <f t="shared" si="8"/>
        <v>2683.75</v>
      </c>
      <c r="H97" s="2">
        <v>38408.28</v>
      </c>
      <c r="I97" s="2">
        <f t="shared" si="9"/>
        <v>19204.14</v>
      </c>
      <c r="J97" s="2">
        <f xml:space="preserve"> Table1[[#This Row],[Diesel (R)]]</f>
        <v>23.16</v>
      </c>
      <c r="K97" t="str">
        <f xml:space="preserve"> Table1[[#This Row],[Diesel (R) Budget]]</f>
        <v>21.66</v>
      </c>
      <c r="L97" s="2">
        <v>23.16</v>
      </c>
      <c r="M97" t="s">
        <v>443</v>
      </c>
    </row>
    <row r="98" spans="1:13" x14ac:dyDescent="0.3">
      <c r="A98" t="s">
        <v>109</v>
      </c>
      <c r="B98" s="2">
        <v>0.22616382304765426</v>
      </c>
      <c r="C98" s="2">
        <f t="shared" si="5"/>
        <v>4.5232764609530851E-2</v>
      </c>
      <c r="D98" s="2">
        <v>156901</v>
      </c>
      <c r="E98" s="2">
        <f t="shared" si="6"/>
        <v>47070.299999999996</v>
      </c>
      <c r="F98" s="2">
        <f t="shared" si="7"/>
        <v>39225.25</v>
      </c>
      <c r="G98" s="2">
        <f t="shared" si="8"/>
        <v>7845.05</v>
      </c>
      <c r="H98" s="2">
        <v>35485.33</v>
      </c>
      <c r="I98" s="2">
        <f t="shared" si="9"/>
        <v>17742.665000000001</v>
      </c>
      <c r="J98" s="2">
        <f xml:space="preserve"> Table1[[#This Row],[Diesel (R)]]</f>
        <v>22.84</v>
      </c>
      <c r="K98" t="str">
        <f xml:space="preserve"> Table1[[#This Row],[Diesel (R) Budget]]</f>
        <v>18.95</v>
      </c>
      <c r="L98" s="2">
        <v>22.84</v>
      </c>
      <c r="M98" t="s">
        <v>444</v>
      </c>
    </row>
    <row r="99" spans="1:13" x14ac:dyDescent="0.3">
      <c r="A99" t="s">
        <v>110</v>
      </c>
      <c r="B99" s="2">
        <v>0.41160504279496779</v>
      </c>
      <c r="C99" s="2">
        <f t="shared" si="5"/>
        <v>8.2321008558993561E-2</v>
      </c>
      <c r="D99" s="2">
        <v>151186</v>
      </c>
      <c r="E99" s="2">
        <f t="shared" si="6"/>
        <v>45355.799999999996</v>
      </c>
      <c r="F99" s="2">
        <f t="shared" si="7"/>
        <v>37796.5</v>
      </c>
      <c r="G99" s="2">
        <f t="shared" si="8"/>
        <v>7559.3</v>
      </c>
      <c r="H99" s="2">
        <v>62228.92</v>
      </c>
      <c r="I99" s="2">
        <f t="shared" si="9"/>
        <v>31114.46</v>
      </c>
      <c r="J99" s="2">
        <f xml:space="preserve"> Table1[[#This Row],[Diesel (R)]]</f>
        <v>21.22</v>
      </c>
      <c r="K99" t="str">
        <f xml:space="preserve"> Table1[[#This Row],[Diesel (R) Budget]]</f>
        <v>24.31</v>
      </c>
      <c r="L99" s="2">
        <v>21.22</v>
      </c>
      <c r="M99" t="s">
        <v>281</v>
      </c>
    </row>
    <row r="100" spans="1:13" x14ac:dyDescent="0.3">
      <c r="A100" t="s">
        <v>111</v>
      </c>
      <c r="B100" s="2">
        <v>0.3961289098390125</v>
      </c>
      <c r="C100" s="2">
        <f t="shared" si="5"/>
        <v>7.92257819678025E-2</v>
      </c>
      <c r="D100" s="2">
        <v>50066</v>
      </c>
      <c r="E100" s="2">
        <f t="shared" si="6"/>
        <v>15019.8</v>
      </c>
      <c r="F100" s="2">
        <f t="shared" si="7"/>
        <v>12516.5</v>
      </c>
      <c r="G100" s="2">
        <f t="shared" si="8"/>
        <v>2503.3000000000002</v>
      </c>
      <c r="H100" s="2">
        <v>19832.59</v>
      </c>
      <c r="I100" s="2">
        <f t="shared" si="9"/>
        <v>9916.2950000000001</v>
      </c>
      <c r="J100" s="2">
        <f xml:space="preserve"> Table1[[#This Row],[Diesel (R)]]</f>
        <v>24.51</v>
      </c>
      <c r="K100" t="str">
        <f xml:space="preserve"> Table1[[#This Row],[Diesel (R) Budget]]</f>
        <v>19.07</v>
      </c>
      <c r="L100" s="2">
        <v>24.51</v>
      </c>
      <c r="M100" t="s">
        <v>445</v>
      </c>
    </row>
    <row r="101" spans="1:13" x14ac:dyDescent="0.3">
      <c r="A101" t="s">
        <v>112</v>
      </c>
      <c r="B101" s="2">
        <v>0.29279109534616143</v>
      </c>
      <c r="C101" s="2">
        <f t="shared" si="5"/>
        <v>5.8558219069232288E-2</v>
      </c>
      <c r="D101" s="2">
        <v>157311</v>
      </c>
      <c r="E101" s="2">
        <f t="shared" si="6"/>
        <v>47193.299999999996</v>
      </c>
      <c r="F101" s="2">
        <f t="shared" si="7"/>
        <v>39327.75</v>
      </c>
      <c r="G101" s="2">
        <f t="shared" si="8"/>
        <v>7865.55</v>
      </c>
      <c r="H101" s="2">
        <v>46059.26</v>
      </c>
      <c r="I101" s="2">
        <f t="shared" si="9"/>
        <v>23029.63</v>
      </c>
      <c r="J101" s="2">
        <f xml:space="preserve"> Table1[[#This Row],[Diesel (R)]]</f>
        <v>20.96</v>
      </c>
      <c r="K101" t="str">
        <f xml:space="preserve"> Table1[[#This Row],[Diesel (R) Budget]]</f>
        <v>22.81</v>
      </c>
      <c r="L101" s="2">
        <v>20.96</v>
      </c>
      <c r="M101" t="s">
        <v>334</v>
      </c>
    </row>
    <row r="102" spans="1:13" x14ac:dyDescent="0.3">
      <c r="A102" t="s">
        <v>113</v>
      </c>
      <c r="B102" s="2">
        <v>0.37217000636911468</v>
      </c>
      <c r="C102" s="2">
        <f t="shared" si="5"/>
        <v>7.4434001273822936E-2</v>
      </c>
      <c r="D102" s="2">
        <v>102055</v>
      </c>
      <c r="E102" s="2">
        <f t="shared" si="6"/>
        <v>30616.5</v>
      </c>
      <c r="F102" s="2">
        <f t="shared" si="7"/>
        <v>25513.75</v>
      </c>
      <c r="G102" s="2">
        <f t="shared" si="8"/>
        <v>5102.75</v>
      </c>
      <c r="H102" s="2">
        <v>37981.81</v>
      </c>
      <c r="I102" s="2">
        <f t="shared" si="9"/>
        <v>18990.904999999999</v>
      </c>
      <c r="J102" s="2">
        <f xml:space="preserve"> Table1[[#This Row],[Diesel (R)]]</f>
        <v>19.02</v>
      </c>
      <c r="K102" t="str">
        <f xml:space="preserve"> Table1[[#This Row],[Diesel (R) Budget]]</f>
        <v>21.23</v>
      </c>
      <c r="L102" s="2">
        <v>19.02</v>
      </c>
      <c r="M102" t="s">
        <v>446</v>
      </c>
    </row>
    <row r="103" spans="1:13" x14ac:dyDescent="0.3">
      <c r="A103" t="s">
        <v>114</v>
      </c>
      <c r="B103" s="2">
        <v>0.29654890391902911</v>
      </c>
      <c r="C103" s="2">
        <f t="shared" si="5"/>
        <v>5.9309780783805825E-2</v>
      </c>
      <c r="D103" s="2">
        <v>166776</v>
      </c>
      <c r="E103" s="2">
        <f t="shared" si="6"/>
        <v>50032.799999999996</v>
      </c>
      <c r="F103" s="2">
        <f t="shared" si="7"/>
        <v>41694</v>
      </c>
      <c r="G103" s="2">
        <f t="shared" si="8"/>
        <v>8338.8000000000011</v>
      </c>
      <c r="H103" s="2">
        <v>49457.24</v>
      </c>
      <c r="I103" s="2">
        <f t="shared" si="9"/>
        <v>24728.62</v>
      </c>
      <c r="J103" s="2">
        <f xml:space="preserve"> Table1[[#This Row],[Diesel (R)]]</f>
        <v>23.71</v>
      </c>
      <c r="K103" t="str">
        <f xml:space="preserve"> Table1[[#This Row],[Diesel (R) Budget]]</f>
        <v>23.96</v>
      </c>
      <c r="L103" s="2">
        <v>23.71</v>
      </c>
      <c r="M103" t="s">
        <v>447</v>
      </c>
    </row>
    <row r="104" spans="1:13" x14ac:dyDescent="0.3">
      <c r="A104" t="s">
        <v>115</v>
      </c>
      <c r="B104" s="2">
        <v>0.25018922748808387</v>
      </c>
      <c r="C104" s="2">
        <f t="shared" si="5"/>
        <v>5.0037845497616779E-2</v>
      </c>
      <c r="D104" s="2">
        <v>69863</v>
      </c>
      <c r="E104" s="2">
        <f t="shared" si="6"/>
        <v>20958.899999999998</v>
      </c>
      <c r="F104" s="2">
        <f t="shared" si="7"/>
        <v>17465.75</v>
      </c>
      <c r="G104" s="2">
        <f t="shared" si="8"/>
        <v>3493.15</v>
      </c>
      <c r="H104" s="2">
        <v>17478.97</v>
      </c>
      <c r="I104" s="2">
        <f t="shared" si="9"/>
        <v>8739.4850000000006</v>
      </c>
      <c r="J104" s="2">
        <f xml:space="preserve"> Table1[[#This Row],[Diesel (R)]]</f>
        <v>17.14</v>
      </c>
      <c r="K104" t="str">
        <f xml:space="preserve"> Table1[[#This Row],[Diesel (R) Budget]]</f>
        <v>17.99</v>
      </c>
      <c r="L104" s="2">
        <v>17.14</v>
      </c>
      <c r="M104" t="s">
        <v>326</v>
      </c>
    </row>
    <row r="105" spans="1:13" x14ac:dyDescent="0.3">
      <c r="A105" t="s">
        <v>116</v>
      </c>
      <c r="B105" s="2">
        <v>0.2838066371876794</v>
      </c>
      <c r="C105" s="2">
        <f t="shared" si="5"/>
        <v>5.6761327437535883E-2</v>
      </c>
      <c r="D105" s="2">
        <v>158531</v>
      </c>
      <c r="E105" s="2">
        <f t="shared" si="6"/>
        <v>47559.299999999996</v>
      </c>
      <c r="F105" s="2">
        <f t="shared" si="7"/>
        <v>39632.75</v>
      </c>
      <c r="G105" s="2">
        <f t="shared" si="8"/>
        <v>7926.55</v>
      </c>
      <c r="H105" s="2">
        <v>44992.15</v>
      </c>
      <c r="I105" s="2">
        <f t="shared" si="9"/>
        <v>22496.075000000001</v>
      </c>
      <c r="J105" s="2">
        <f xml:space="preserve"> Table1[[#This Row],[Diesel (R)]]</f>
        <v>22.49</v>
      </c>
      <c r="K105" t="str">
        <f xml:space="preserve"> Table1[[#This Row],[Diesel (R) Budget]]</f>
        <v>24.68</v>
      </c>
      <c r="L105" s="2">
        <v>22.49</v>
      </c>
      <c r="M105" t="s">
        <v>448</v>
      </c>
    </row>
    <row r="106" spans="1:13" x14ac:dyDescent="0.3">
      <c r="A106" t="s">
        <v>117</v>
      </c>
      <c r="B106" s="2">
        <v>0.40292844471587275</v>
      </c>
      <c r="C106" s="2">
        <f t="shared" si="5"/>
        <v>8.0585688943174555E-2</v>
      </c>
      <c r="D106" s="2">
        <v>137544</v>
      </c>
      <c r="E106" s="2">
        <f t="shared" si="6"/>
        <v>41263.199999999997</v>
      </c>
      <c r="F106" s="2">
        <f t="shared" si="7"/>
        <v>34386</v>
      </c>
      <c r="G106" s="2">
        <f t="shared" si="8"/>
        <v>6877.2000000000007</v>
      </c>
      <c r="H106" s="2">
        <v>55420.39</v>
      </c>
      <c r="I106" s="2">
        <f t="shared" si="9"/>
        <v>27710.195</v>
      </c>
      <c r="J106" s="2">
        <f xml:space="preserve"> Table1[[#This Row],[Diesel (R)]]</f>
        <v>21.88</v>
      </c>
      <c r="K106" t="str">
        <f xml:space="preserve"> Table1[[#This Row],[Diesel (R) Budget]]</f>
        <v>20.14</v>
      </c>
      <c r="L106" s="2">
        <v>21.88</v>
      </c>
      <c r="M106" t="s">
        <v>301</v>
      </c>
    </row>
    <row r="107" spans="1:13" x14ac:dyDescent="0.3">
      <c r="A107" t="s">
        <v>118</v>
      </c>
      <c r="B107" s="2">
        <v>0.24191340308982481</v>
      </c>
      <c r="C107" s="2">
        <f t="shared" si="5"/>
        <v>4.8382680617964968E-2</v>
      </c>
      <c r="D107" s="2">
        <v>156449</v>
      </c>
      <c r="E107" s="2">
        <f t="shared" si="6"/>
        <v>46934.7</v>
      </c>
      <c r="F107" s="2">
        <f t="shared" si="7"/>
        <v>39112.25</v>
      </c>
      <c r="G107" s="2">
        <f t="shared" si="8"/>
        <v>7822.4500000000007</v>
      </c>
      <c r="H107" s="2">
        <v>37847.11</v>
      </c>
      <c r="I107" s="2">
        <f t="shared" si="9"/>
        <v>18923.555</v>
      </c>
      <c r="J107" s="2">
        <f xml:space="preserve"> Table1[[#This Row],[Diesel (R)]]</f>
        <v>20.73</v>
      </c>
      <c r="K107" t="str">
        <f xml:space="preserve"> Table1[[#This Row],[Diesel (R) Budget]]</f>
        <v>19.52</v>
      </c>
      <c r="L107" s="2">
        <v>20.73</v>
      </c>
      <c r="M107" t="s">
        <v>449</v>
      </c>
    </row>
    <row r="108" spans="1:13" x14ac:dyDescent="0.3">
      <c r="A108" t="s">
        <v>119</v>
      </c>
      <c r="B108" s="2">
        <v>0.3110962736555396</v>
      </c>
      <c r="C108" s="2">
        <f t="shared" si="5"/>
        <v>6.2219254731107926E-2</v>
      </c>
      <c r="D108" s="2">
        <v>162277</v>
      </c>
      <c r="E108" s="2">
        <f t="shared" si="6"/>
        <v>48683.1</v>
      </c>
      <c r="F108" s="2">
        <f t="shared" si="7"/>
        <v>40569.25</v>
      </c>
      <c r="G108" s="2">
        <f t="shared" si="8"/>
        <v>8113.85</v>
      </c>
      <c r="H108" s="2">
        <v>50483.77</v>
      </c>
      <c r="I108" s="2">
        <f t="shared" si="9"/>
        <v>25241.884999999998</v>
      </c>
      <c r="J108" s="2">
        <f xml:space="preserve"> Table1[[#This Row],[Diesel (R)]]</f>
        <v>24.23</v>
      </c>
      <c r="K108" t="str">
        <f xml:space="preserve"> Table1[[#This Row],[Diesel (R) Budget]]</f>
        <v>23.72</v>
      </c>
      <c r="L108" s="2">
        <v>24.23</v>
      </c>
      <c r="M108" t="s">
        <v>343</v>
      </c>
    </row>
    <row r="109" spans="1:13" x14ac:dyDescent="0.3">
      <c r="A109" t="s">
        <v>120</v>
      </c>
      <c r="B109" s="2">
        <v>0.30959499663260032</v>
      </c>
      <c r="C109" s="2">
        <f t="shared" si="5"/>
        <v>6.1918999326520063E-2</v>
      </c>
      <c r="D109" s="2">
        <v>152937</v>
      </c>
      <c r="E109" s="2">
        <f t="shared" si="6"/>
        <v>45881.1</v>
      </c>
      <c r="F109" s="2">
        <f t="shared" si="7"/>
        <v>38234.25</v>
      </c>
      <c r="G109" s="2">
        <f t="shared" si="8"/>
        <v>7646.85</v>
      </c>
      <c r="H109" s="2">
        <v>47348.53</v>
      </c>
      <c r="I109" s="2">
        <f t="shared" si="9"/>
        <v>23674.264999999999</v>
      </c>
      <c r="J109" s="2">
        <f xml:space="preserve"> Table1[[#This Row],[Diesel (R)]]</f>
        <v>18.91</v>
      </c>
      <c r="K109" t="str">
        <f xml:space="preserve"> Table1[[#This Row],[Diesel (R) Budget]]</f>
        <v>21.83</v>
      </c>
      <c r="L109" s="2">
        <v>18.91</v>
      </c>
      <c r="M109" t="s">
        <v>450</v>
      </c>
    </row>
    <row r="110" spans="1:13" x14ac:dyDescent="0.3">
      <c r="A110" t="s">
        <v>121</v>
      </c>
      <c r="B110" s="2">
        <v>0.31115106285148375</v>
      </c>
      <c r="C110" s="2">
        <f t="shared" si="5"/>
        <v>6.2230212570296754E-2</v>
      </c>
      <c r="D110" s="2">
        <v>141365</v>
      </c>
      <c r="E110" s="2">
        <f t="shared" si="6"/>
        <v>42409.5</v>
      </c>
      <c r="F110" s="2">
        <f t="shared" si="7"/>
        <v>35341.25</v>
      </c>
      <c r="G110" s="2">
        <f t="shared" si="8"/>
        <v>7068.25</v>
      </c>
      <c r="H110" s="2">
        <v>43985.87</v>
      </c>
      <c r="I110" s="2">
        <f t="shared" si="9"/>
        <v>21992.935000000001</v>
      </c>
      <c r="J110" s="2">
        <f xml:space="preserve"> Table1[[#This Row],[Diesel (R)]]</f>
        <v>22.68</v>
      </c>
      <c r="K110" t="str">
        <f xml:space="preserve"> Table1[[#This Row],[Diesel (R) Budget]]</f>
        <v>18.63</v>
      </c>
      <c r="L110" s="2">
        <v>22.68</v>
      </c>
      <c r="M110" t="s">
        <v>279</v>
      </c>
    </row>
    <row r="111" spans="1:13" x14ac:dyDescent="0.3">
      <c r="A111" t="s">
        <v>122</v>
      </c>
      <c r="B111" s="2">
        <v>0.25765477257225394</v>
      </c>
      <c r="C111" s="2">
        <f t="shared" si="5"/>
        <v>5.1530954514450791E-2</v>
      </c>
      <c r="D111" s="2">
        <v>149542</v>
      </c>
      <c r="E111" s="2">
        <f t="shared" si="6"/>
        <v>44862.6</v>
      </c>
      <c r="F111" s="2">
        <f t="shared" si="7"/>
        <v>37385.5</v>
      </c>
      <c r="G111" s="2">
        <f t="shared" si="8"/>
        <v>7477.1</v>
      </c>
      <c r="H111" s="2">
        <v>38530.21</v>
      </c>
      <c r="I111" s="2">
        <f t="shared" si="9"/>
        <v>19265.105</v>
      </c>
      <c r="J111" s="2">
        <f xml:space="preserve"> Table1[[#This Row],[Diesel (R)]]</f>
        <v>23.37</v>
      </c>
      <c r="K111" t="str">
        <f xml:space="preserve"> Table1[[#This Row],[Diesel (R) Budget]]</f>
        <v>24.26</v>
      </c>
      <c r="L111" s="2">
        <v>23.37</v>
      </c>
      <c r="M111" t="s">
        <v>451</v>
      </c>
    </row>
    <row r="112" spans="1:13" x14ac:dyDescent="0.3">
      <c r="A112" t="s">
        <v>123</v>
      </c>
      <c r="B112" s="2">
        <v>0.26808314341846762</v>
      </c>
      <c r="C112" s="2">
        <f t="shared" si="5"/>
        <v>5.3616628683693525E-2</v>
      </c>
      <c r="D112" s="2">
        <v>127250</v>
      </c>
      <c r="E112" s="2">
        <f t="shared" si="6"/>
        <v>38175</v>
      </c>
      <c r="F112" s="2">
        <f t="shared" si="7"/>
        <v>31812.5</v>
      </c>
      <c r="G112" s="2">
        <f t="shared" si="8"/>
        <v>6362.5</v>
      </c>
      <c r="H112" s="2">
        <v>34113.58</v>
      </c>
      <c r="I112" s="2">
        <f t="shared" si="9"/>
        <v>17056.79</v>
      </c>
      <c r="J112" s="2">
        <f xml:space="preserve"> Table1[[#This Row],[Diesel (R)]]</f>
        <v>17.579999999999998</v>
      </c>
      <c r="K112" t="str">
        <f xml:space="preserve"> Table1[[#This Row],[Diesel (R) Budget]]</f>
        <v>19.11</v>
      </c>
      <c r="L112" s="2">
        <v>17.579999999999998</v>
      </c>
      <c r="M112" t="s">
        <v>295</v>
      </c>
    </row>
    <row r="113" spans="1:13" x14ac:dyDescent="0.3">
      <c r="A113" t="s">
        <v>124</v>
      </c>
      <c r="B113" s="2">
        <v>0.23967765827057566</v>
      </c>
      <c r="C113" s="2">
        <f t="shared" si="5"/>
        <v>4.7935531654115134E-2</v>
      </c>
      <c r="D113" s="2">
        <v>152571</v>
      </c>
      <c r="E113" s="2">
        <f t="shared" si="6"/>
        <v>45771.299999999996</v>
      </c>
      <c r="F113" s="2">
        <f t="shared" si="7"/>
        <v>38142.75</v>
      </c>
      <c r="G113" s="2">
        <f t="shared" si="8"/>
        <v>7628.55</v>
      </c>
      <c r="H113" s="2">
        <v>36567.86</v>
      </c>
      <c r="I113" s="2">
        <f t="shared" si="9"/>
        <v>18283.93</v>
      </c>
      <c r="J113" s="2">
        <f xml:space="preserve"> Table1[[#This Row],[Diesel (R)]]</f>
        <v>18.829999999999998</v>
      </c>
      <c r="K113" t="str">
        <f xml:space="preserve"> Table1[[#This Row],[Diesel (R) Budget]]</f>
        <v>22.35</v>
      </c>
      <c r="L113" s="2">
        <v>18.829999999999998</v>
      </c>
      <c r="M113" t="s">
        <v>452</v>
      </c>
    </row>
    <row r="114" spans="1:13" x14ac:dyDescent="0.3">
      <c r="A114" t="s">
        <v>125</v>
      </c>
      <c r="B114" s="2">
        <v>0.33363018037132014</v>
      </c>
      <c r="C114" s="2">
        <f t="shared" si="5"/>
        <v>6.6726036074264028E-2</v>
      </c>
      <c r="D114" s="2">
        <v>162609</v>
      </c>
      <c r="E114" s="2">
        <f t="shared" si="6"/>
        <v>48782.7</v>
      </c>
      <c r="F114" s="2">
        <f t="shared" si="7"/>
        <v>40652.25</v>
      </c>
      <c r="G114" s="2">
        <f t="shared" si="8"/>
        <v>8130.4500000000007</v>
      </c>
      <c r="H114" s="2">
        <v>54251.27</v>
      </c>
      <c r="I114" s="2">
        <f t="shared" si="9"/>
        <v>27125.634999999998</v>
      </c>
      <c r="J114" s="2">
        <f xml:space="preserve"> Table1[[#This Row],[Diesel (R)]]</f>
        <v>21.41</v>
      </c>
      <c r="K114" t="str">
        <f xml:space="preserve"> Table1[[#This Row],[Diesel (R) Budget]]</f>
        <v>21.04</v>
      </c>
      <c r="L114" s="2">
        <v>21.41</v>
      </c>
      <c r="M114" t="s">
        <v>453</v>
      </c>
    </row>
    <row r="115" spans="1:13" x14ac:dyDescent="0.3">
      <c r="A115" t="s">
        <v>126</v>
      </c>
      <c r="B115" s="2">
        <v>0.27018603731653612</v>
      </c>
      <c r="C115" s="2">
        <f t="shared" si="5"/>
        <v>5.403720746330723E-2</v>
      </c>
      <c r="D115" s="2">
        <v>146691</v>
      </c>
      <c r="E115" s="2">
        <f t="shared" si="6"/>
        <v>44007.299999999996</v>
      </c>
      <c r="F115" s="2">
        <f t="shared" si="7"/>
        <v>36672.75</v>
      </c>
      <c r="G115" s="2">
        <f t="shared" si="8"/>
        <v>7334.55</v>
      </c>
      <c r="H115" s="2">
        <v>39633.86</v>
      </c>
      <c r="I115" s="2">
        <f t="shared" si="9"/>
        <v>19816.93</v>
      </c>
      <c r="J115" s="2">
        <f xml:space="preserve"> Table1[[#This Row],[Diesel (R)]]</f>
        <v>22.17</v>
      </c>
      <c r="K115" t="str">
        <f xml:space="preserve"> Table1[[#This Row],[Diesel (R) Budget]]</f>
        <v>23.15</v>
      </c>
      <c r="L115" s="2">
        <v>22.17</v>
      </c>
      <c r="M115" t="s">
        <v>371</v>
      </c>
    </row>
    <row r="116" spans="1:13" x14ac:dyDescent="0.3">
      <c r="A116" t="s">
        <v>127</v>
      </c>
      <c r="B116" s="2">
        <v>0.5721089299461124</v>
      </c>
      <c r="C116" s="2">
        <f t="shared" si="5"/>
        <v>0.11442178598922248</v>
      </c>
      <c r="D116" s="2">
        <v>25980</v>
      </c>
      <c r="E116" s="2">
        <f t="shared" si="6"/>
        <v>7794</v>
      </c>
      <c r="F116" s="2">
        <f t="shared" si="7"/>
        <v>6495</v>
      </c>
      <c r="G116" s="2">
        <f t="shared" si="8"/>
        <v>1299</v>
      </c>
      <c r="H116" s="2">
        <v>14863.39</v>
      </c>
      <c r="I116" s="2">
        <f t="shared" si="9"/>
        <v>7431.6949999999997</v>
      </c>
      <c r="J116" s="2">
        <f xml:space="preserve"> Table1[[#This Row],[Diesel (R)]]</f>
        <v>24.42</v>
      </c>
      <c r="K116" t="str">
        <f xml:space="preserve"> Table1[[#This Row],[Diesel (R) Budget]]</f>
        <v>17.57</v>
      </c>
      <c r="L116" s="2">
        <v>24.42</v>
      </c>
      <c r="M116" t="s">
        <v>454</v>
      </c>
    </row>
    <row r="117" spans="1:13" x14ac:dyDescent="0.3">
      <c r="A117" t="s">
        <v>128</v>
      </c>
      <c r="B117" s="2">
        <v>0.25003159170141753</v>
      </c>
      <c r="C117" s="2">
        <f t="shared" si="5"/>
        <v>5.0006318340283511E-2</v>
      </c>
      <c r="D117" s="2">
        <v>134529</v>
      </c>
      <c r="E117" s="2">
        <f t="shared" si="6"/>
        <v>40358.699999999997</v>
      </c>
      <c r="F117" s="2">
        <f t="shared" si="7"/>
        <v>33632.25</v>
      </c>
      <c r="G117" s="2">
        <f t="shared" si="8"/>
        <v>6726.4500000000007</v>
      </c>
      <c r="H117" s="2">
        <v>33636.5</v>
      </c>
      <c r="I117" s="2">
        <f t="shared" si="9"/>
        <v>16818.25</v>
      </c>
      <c r="J117" s="2">
        <f xml:space="preserve"> Table1[[#This Row],[Diesel (R)]]</f>
        <v>17.989999999999998</v>
      </c>
      <c r="K117" t="str">
        <f xml:space="preserve"> Table1[[#This Row],[Diesel (R) Budget]]</f>
        <v>24.61</v>
      </c>
      <c r="L117" s="2">
        <v>17.989999999999998</v>
      </c>
      <c r="M117" t="s">
        <v>363</v>
      </c>
    </row>
    <row r="118" spans="1:13" x14ac:dyDescent="0.3">
      <c r="A118" t="s">
        <v>129</v>
      </c>
      <c r="B118" s="2">
        <v>0.33723296635779759</v>
      </c>
      <c r="C118" s="2">
        <f t="shared" si="5"/>
        <v>6.7446593271559524E-2</v>
      </c>
      <c r="D118" s="2">
        <v>139973</v>
      </c>
      <c r="E118" s="2">
        <f t="shared" si="6"/>
        <v>41991.9</v>
      </c>
      <c r="F118" s="2">
        <f t="shared" si="7"/>
        <v>34993.25</v>
      </c>
      <c r="G118" s="2">
        <f t="shared" si="8"/>
        <v>6998.6500000000005</v>
      </c>
      <c r="H118" s="2">
        <v>47203.51</v>
      </c>
      <c r="I118" s="2">
        <f t="shared" si="9"/>
        <v>23601.755000000001</v>
      </c>
      <c r="J118" s="2">
        <f xml:space="preserve"> Table1[[#This Row],[Diesel (R)]]</f>
        <v>19.190000000000001</v>
      </c>
      <c r="K118" t="str">
        <f xml:space="preserve"> Table1[[#This Row],[Diesel (R) Budget]]</f>
        <v>20.49</v>
      </c>
      <c r="L118" s="2">
        <v>19.190000000000001</v>
      </c>
      <c r="M118" t="s">
        <v>455</v>
      </c>
    </row>
    <row r="119" spans="1:13" x14ac:dyDescent="0.3">
      <c r="A119" t="s">
        <v>130</v>
      </c>
      <c r="B119" s="2">
        <v>0.29005472213747396</v>
      </c>
      <c r="C119" s="2">
        <f t="shared" si="5"/>
        <v>5.8010944427494798E-2</v>
      </c>
      <c r="D119" s="2">
        <v>154051</v>
      </c>
      <c r="E119" s="2">
        <f t="shared" si="6"/>
        <v>46215.299999999996</v>
      </c>
      <c r="F119" s="2">
        <f t="shared" si="7"/>
        <v>38512.75</v>
      </c>
      <c r="G119" s="2">
        <f t="shared" si="8"/>
        <v>7702.55</v>
      </c>
      <c r="H119" s="2">
        <v>44683.22</v>
      </c>
      <c r="I119" s="2">
        <f t="shared" si="9"/>
        <v>22341.61</v>
      </c>
      <c r="J119" s="2">
        <f xml:space="preserve"> Table1[[#This Row],[Diesel (R)]]</f>
        <v>21.65</v>
      </c>
      <c r="K119" t="str">
        <f xml:space="preserve"> Table1[[#This Row],[Diesel (R) Budget]]</f>
        <v>19.84</v>
      </c>
      <c r="L119" s="2">
        <v>21.65</v>
      </c>
      <c r="M119" t="s">
        <v>370</v>
      </c>
    </row>
    <row r="120" spans="1:13" x14ac:dyDescent="0.3">
      <c r="A120" t="s">
        <v>131</v>
      </c>
      <c r="B120" s="2">
        <v>0.36447253735002111</v>
      </c>
      <c r="C120" s="2">
        <f t="shared" si="5"/>
        <v>7.2894507470004227E-2</v>
      </c>
      <c r="D120" s="2">
        <v>146854</v>
      </c>
      <c r="E120" s="2">
        <f t="shared" si="6"/>
        <v>44056.2</v>
      </c>
      <c r="F120" s="2">
        <f t="shared" si="7"/>
        <v>36713.5</v>
      </c>
      <c r="G120" s="2">
        <f t="shared" si="8"/>
        <v>7342.7000000000007</v>
      </c>
      <c r="H120" s="2">
        <v>53524.25</v>
      </c>
      <c r="I120" s="2">
        <f t="shared" si="9"/>
        <v>26762.125</v>
      </c>
      <c r="J120" s="2">
        <f xml:space="preserve"> Table1[[#This Row],[Diesel (R)]]</f>
        <v>23.12</v>
      </c>
      <c r="K120" t="str">
        <f xml:space="preserve"> Table1[[#This Row],[Diesel (R) Budget]]</f>
        <v>23.33</v>
      </c>
      <c r="L120" s="2">
        <v>23.12</v>
      </c>
      <c r="M120" t="s">
        <v>387</v>
      </c>
    </row>
    <row r="121" spans="1:13" x14ac:dyDescent="0.3">
      <c r="A121" t="s">
        <v>132</v>
      </c>
      <c r="B121" s="2">
        <v>0.4366802215522681</v>
      </c>
      <c r="C121" s="2">
        <f t="shared" si="5"/>
        <v>8.7336044310453623E-2</v>
      </c>
      <c r="D121" s="2">
        <v>71315</v>
      </c>
      <c r="E121" s="2">
        <f t="shared" si="6"/>
        <v>21394.5</v>
      </c>
      <c r="F121" s="2">
        <f t="shared" si="7"/>
        <v>17828.75</v>
      </c>
      <c r="G121" s="2">
        <f t="shared" si="8"/>
        <v>3565.75</v>
      </c>
      <c r="H121" s="2">
        <v>31141.85</v>
      </c>
      <c r="I121" s="2">
        <f t="shared" si="9"/>
        <v>15570.924999999999</v>
      </c>
      <c r="J121" s="2">
        <f xml:space="preserve"> Table1[[#This Row],[Diesel (R)]]</f>
        <v>22.96</v>
      </c>
      <c r="K121" t="str">
        <f xml:space="preserve"> Table1[[#This Row],[Diesel (R) Budget]]</f>
        <v>21.91</v>
      </c>
      <c r="L121" s="2">
        <v>22.96</v>
      </c>
      <c r="M121" t="s">
        <v>456</v>
      </c>
    </row>
    <row r="122" spans="1:13" x14ac:dyDescent="0.3">
      <c r="A122" t="s">
        <v>133</v>
      </c>
      <c r="B122" s="2">
        <v>0.25425583903845728</v>
      </c>
      <c r="C122" s="2">
        <f t="shared" si="5"/>
        <v>5.0851167807691458E-2</v>
      </c>
      <c r="D122" s="2">
        <v>136281</v>
      </c>
      <c r="E122" s="2">
        <f t="shared" si="6"/>
        <v>40884.299999999996</v>
      </c>
      <c r="F122" s="2">
        <f t="shared" si="7"/>
        <v>34070.25</v>
      </c>
      <c r="G122" s="2">
        <f t="shared" si="8"/>
        <v>6814.05</v>
      </c>
      <c r="H122" s="2">
        <v>34650.239999999998</v>
      </c>
      <c r="I122" s="2">
        <f t="shared" si="9"/>
        <v>17325.12</v>
      </c>
      <c r="J122" s="2">
        <f xml:space="preserve"> Table1[[#This Row],[Diesel (R)]]</f>
        <v>20.34</v>
      </c>
      <c r="K122" t="str">
        <f xml:space="preserve"> Table1[[#This Row],[Diesel (R) Budget]]</f>
        <v>18.32</v>
      </c>
      <c r="L122" s="2">
        <v>20.34</v>
      </c>
      <c r="M122" t="s">
        <v>273</v>
      </c>
    </row>
    <row r="123" spans="1:13" x14ac:dyDescent="0.3">
      <c r="A123" t="s">
        <v>134</v>
      </c>
      <c r="B123" s="2">
        <v>0.46521761734157613</v>
      </c>
      <c r="C123" s="2">
        <f t="shared" si="5"/>
        <v>9.3043523468315237E-2</v>
      </c>
      <c r="D123" s="2">
        <v>88481</v>
      </c>
      <c r="E123" s="2">
        <f t="shared" si="6"/>
        <v>26544.3</v>
      </c>
      <c r="F123" s="2">
        <f t="shared" si="7"/>
        <v>22120.25</v>
      </c>
      <c r="G123" s="2">
        <f t="shared" si="8"/>
        <v>4424.05</v>
      </c>
      <c r="H123" s="2">
        <v>41162.92</v>
      </c>
      <c r="I123" s="2">
        <f t="shared" si="9"/>
        <v>20581.46</v>
      </c>
      <c r="J123" s="2">
        <f xml:space="preserve"> Table1[[#This Row],[Diesel (R)]]</f>
        <v>23.82</v>
      </c>
      <c r="K123" t="str">
        <f xml:space="preserve"> Table1[[#This Row],[Diesel (R) Budget]]</f>
        <v>24.45</v>
      </c>
      <c r="L123" s="2">
        <v>23.82</v>
      </c>
      <c r="M123" t="s">
        <v>457</v>
      </c>
    </row>
    <row r="124" spans="1:13" x14ac:dyDescent="0.3">
      <c r="A124" t="s">
        <v>135</v>
      </c>
      <c r="B124" s="2">
        <v>0.33208606216539321</v>
      </c>
      <c r="C124" s="2">
        <f t="shared" si="5"/>
        <v>6.6417212433078646E-2</v>
      </c>
      <c r="D124" s="2">
        <v>153912</v>
      </c>
      <c r="E124" s="2">
        <f t="shared" si="6"/>
        <v>46173.599999999999</v>
      </c>
      <c r="F124" s="2">
        <f t="shared" si="7"/>
        <v>38478</v>
      </c>
      <c r="G124" s="2">
        <f t="shared" si="8"/>
        <v>7695.6</v>
      </c>
      <c r="H124" s="2">
        <v>51112.03</v>
      </c>
      <c r="I124" s="2">
        <f t="shared" si="9"/>
        <v>25556.014999999999</v>
      </c>
      <c r="J124" s="2">
        <f xml:space="preserve"> Table1[[#This Row],[Diesel (R)]]</f>
        <v>21.09</v>
      </c>
      <c r="K124" t="str">
        <f xml:space="preserve"> Table1[[#This Row],[Diesel (R) Budget]]</f>
        <v>19.25</v>
      </c>
      <c r="L124" s="2">
        <v>21.09</v>
      </c>
      <c r="M124" t="s">
        <v>458</v>
      </c>
    </row>
    <row r="125" spans="1:13" x14ac:dyDescent="0.3">
      <c r="A125" t="s">
        <v>136</v>
      </c>
      <c r="B125" s="2">
        <v>0.35360463366932449</v>
      </c>
      <c r="C125" s="2">
        <f t="shared" si="5"/>
        <v>7.0720926733864903E-2</v>
      </c>
      <c r="D125" s="2">
        <v>132940</v>
      </c>
      <c r="E125" s="2">
        <f t="shared" si="6"/>
        <v>39882</v>
      </c>
      <c r="F125" s="2">
        <f t="shared" si="7"/>
        <v>33235</v>
      </c>
      <c r="G125" s="2">
        <f t="shared" si="8"/>
        <v>6647</v>
      </c>
      <c r="H125" s="2">
        <v>47008.2</v>
      </c>
      <c r="I125" s="2">
        <f t="shared" si="9"/>
        <v>23504.1</v>
      </c>
      <c r="J125" s="2">
        <f xml:space="preserve"> Table1[[#This Row],[Diesel (R)]]</f>
        <v>17.37</v>
      </c>
      <c r="K125" t="str">
        <f xml:space="preserve"> Table1[[#This Row],[Diesel (R) Budget]]</f>
        <v>22.58</v>
      </c>
      <c r="L125" s="2">
        <v>17.37</v>
      </c>
      <c r="M125" t="s">
        <v>293</v>
      </c>
    </row>
    <row r="126" spans="1:13" x14ac:dyDescent="0.3">
      <c r="A126" t="s">
        <v>137</v>
      </c>
      <c r="B126" s="2">
        <v>0.27444857860673422</v>
      </c>
      <c r="C126" s="2">
        <f t="shared" si="5"/>
        <v>5.4889715721346849E-2</v>
      </c>
      <c r="D126" s="2">
        <v>146476</v>
      </c>
      <c r="E126" s="2">
        <f t="shared" si="6"/>
        <v>43942.799999999996</v>
      </c>
      <c r="F126" s="2">
        <f t="shared" si="7"/>
        <v>36619</v>
      </c>
      <c r="G126" s="2">
        <f t="shared" si="8"/>
        <v>7323.8</v>
      </c>
      <c r="H126" s="2">
        <v>40200.129999999997</v>
      </c>
      <c r="I126" s="2">
        <f t="shared" si="9"/>
        <v>20100.064999999999</v>
      </c>
      <c r="J126" s="2">
        <f xml:space="preserve"> Table1[[#This Row],[Diesel (R)]]</f>
        <v>24.7</v>
      </c>
      <c r="K126" t="str">
        <f xml:space="preserve"> Table1[[#This Row],[Diesel (R) Budget]]</f>
        <v>21.72</v>
      </c>
      <c r="L126" s="2">
        <v>24.7</v>
      </c>
      <c r="M126" t="s">
        <v>383</v>
      </c>
    </row>
    <row r="127" spans="1:13" x14ac:dyDescent="0.3">
      <c r="A127" t="s">
        <v>138</v>
      </c>
      <c r="B127" s="2">
        <v>0.29934849871888636</v>
      </c>
      <c r="C127" s="2">
        <f t="shared" si="5"/>
        <v>5.9869699743777274E-2</v>
      </c>
      <c r="D127" s="2">
        <v>195533</v>
      </c>
      <c r="E127" s="2">
        <f t="shared" si="6"/>
        <v>58659.9</v>
      </c>
      <c r="F127" s="2">
        <f t="shared" si="7"/>
        <v>48883.25</v>
      </c>
      <c r="G127" s="2">
        <f t="shared" si="8"/>
        <v>9776.65</v>
      </c>
      <c r="H127" s="2">
        <v>58532.51</v>
      </c>
      <c r="I127" s="2">
        <f t="shared" si="9"/>
        <v>29266.255000000001</v>
      </c>
      <c r="J127" s="2">
        <f xml:space="preserve"> Table1[[#This Row],[Diesel (R)]]</f>
        <v>22.57</v>
      </c>
      <c r="K127" t="str">
        <f xml:space="preserve"> Table1[[#This Row],[Diesel (R) Budget]]</f>
        <v>23.08</v>
      </c>
      <c r="L127" s="2">
        <v>22.57</v>
      </c>
      <c r="M127" t="s">
        <v>459</v>
      </c>
    </row>
    <row r="128" spans="1:13" x14ac:dyDescent="0.3">
      <c r="A128" t="s">
        <v>139</v>
      </c>
      <c r="B128" s="2">
        <v>0.31151993855213467</v>
      </c>
      <c r="C128" s="2">
        <f t="shared" si="5"/>
        <v>6.2303987710426938E-2</v>
      </c>
      <c r="D128" s="2">
        <v>156230</v>
      </c>
      <c r="E128" s="2">
        <f t="shared" si="6"/>
        <v>46869</v>
      </c>
      <c r="F128" s="2">
        <f t="shared" si="7"/>
        <v>39057.5</v>
      </c>
      <c r="G128" s="2">
        <f t="shared" si="8"/>
        <v>7811.5</v>
      </c>
      <c r="H128" s="2">
        <v>48668.76</v>
      </c>
      <c r="I128" s="2">
        <f t="shared" si="9"/>
        <v>24334.38</v>
      </c>
      <c r="J128" s="2">
        <f xml:space="preserve"> Table1[[#This Row],[Diesel (R)]]</f>
        <v>20.51</v>
      </c>
      <c r="K128" t="str">
        <f xml:space="preserve"> Table1[[#This Row],[Diesel (R) Budget]]</f>
        <v>17.68</v>
      </c>
      <c r="L128" s="2">
        <v>20.51</v>
      </c>
      <c r="M128" t="s">
        <v>460</v>
      </c>
    </row>
    <row r="129" spans="1:13" x14ac:dyDescent="0.3">
      <c r="A129" t="s">
        <v>140</v>
      </c>
      <c r="B129" s="2">
        <v>0.40752830492407305</v>
      </c>
      <c r="C129" s="2">
        <f t="shared" si="5"/>
        <v>8.1505660984814612E-2</v>
      </c>
      <c r="D129" s="2">
        <v>111818</v>
      </c>
      <c r="E129" s="2">
        <f t="shared" si="6"/>
        <v>33545.4</v>
      </c>
      <c r="F129" s="2">
        <f t="shared" si="7"/>
        <v>27954.5</v>
      </c>
      <c r="G129" s="2">
        <f t="shared" si="8"/>
        <v>5590.9000000000005</v>
      </c>
      <c r="H129" s="2">
        <v>45569</v>
      </c>
      <c r="I129" s="2">
        <f t="shared" si="9"/>
        <v>22784.5</v>
      </c>
      <c r="J129" s="2">
        <f xml:space="preserve"> Table1[[#This Row],[Diesel (R)]]</f>
        <v>18.16</v>
      </c>
      <c r="K129" t="str">
        <f xml:space="preserve"> Table1[[#This Row],[Diesel (R) Budget]]</f>
        <v>24.36</v>
      </c>
      <c r="L129" s="2">
        <v>18.16</v>
      </c>
      <c r="M129" t="s">
        <v>339</v>
      </c>
    </row>
    <row r="130" spans="1:13" x14ac:dyDescent="0.3">
      <c r="A130" t="s">
        <v>141</v>
      </c>
      <c r="B130" s="2">
        <v>0.28937726143084835</v>
      </c>
      <c r="C130" s="2">
        <f t="shared" ref="C130:C193" si="10">B130*0.2</f>
        <v>5.7875452286169672E-2</v>
      </c>
      <c r="D130" s="2">
        <v>132383</v>
      </c>
      <c r="E130" s="2">
        <f t="shared" ref="E130:E193" si="11">D130*0.3</f>
        <v>39714.9</v>
      </c>
      <c r="F130" s="2">
        <f t="shared" ref="F130:F193" si="12">D130/4</f>
        <v>33095.75</v>
      </c>
      <c r="G130" s="2">
        <f t="shared" ref="G130:G193" si="13">F130*0.2</f>
        <v>6619.1500000000005</v>
      </c>
      <c r="H130" s="2">
        <v>38308.629999999997</v>
      </c>
      <c r="I130" s="2">
        <f t="shared" ref="I130:I193" si="14">H130*0.5</f>
        <v>19154.314999999999</v>
      </c>
      <c r="J130" s="2">
        <f xml:space="preserve"> Table1[[#This Row],[Diesel (R)]]</f>
        <v>19.760000000000002</v>
      </c>
      <c r="K130" t="str">
        <f xml:space="preserve"> Table1[[#This Row],[Diesel (R) Budget]]</f>
        <v>20.93</v>
      </c>
      <c r="L130" s="2">
        <v>19.760000000000002</v>
      </c>
      <c r="M130" t="s">
        <v>461</v>
      </c>
    </row>
    <row r="131" spans="1:13" x14ac:dyDescent="0.3">
      <c r="A131" t="s">
        <v>142</v>
      </c>
      <c r="B131" s="2">
        <v>0.25865927457964688</v>
      </c>
      <c r="C131" s="2">
        <f t="shared" si="10"/>
        <v>5.1731854915929382E-2</v>
      </c>
      <c r="D131" s="2">
        <v>156654</v>
      </c>
      <c r="E131" s="2">
        <f t="shared" si="11"/>
        <v>46996.2</v>
      </c>
      <c r="F131" s="2">
        <f t="shared" si="12"/>
        <v>39163.5</v>
      </c>
      <c r="G131" s="2">
        <f t="shared" si="13"/>
        <v>7832.7000000000007</v>
      </c>
      <c r="H131" s="2">
        <v>40520.01</v>
      </c>
      <c r="I131" s="2">
        <f t="shared" si="14"/>
        <v>20260.005000000001</v>
      </c>
      <c r="J131" s="2">
        <f xml:space="preserve"> Table1[[#This Row],[Diesel (R)]]</f>
        <v>23.25</v>
      </c>
      <c r="K131" t="str">
        <f xml:space="preserve"> Table1[[#This Row],[Diesel (R) Budget]]</f>
        <v>19.46</v>
      </c>
      <c r="L131" s="2">
        <v>23.25</v>
      </c>
      <c r="M131" t="s">
        <v>318</v>
      </c>
    </row>
    <row r="132" spans="1:13" x14ac:dyDescent="0.3">
      <c r="A132" t="s">
        <v>143</v>
      </c>
      <c r="B132" s="2">
        <v>0.41869097143888462</v>
      </c>
      <c r="C132" s="2">
        <f t="shared" si="10"/>
        <v>8.3738194287776929E-2</v>
      </c>
      <c r="D132" s="2">
        <v>110815</v>
      </c>
      <c r="E132" s="2">
        <f t="shared" si="11"/>
        <v>33244.5</v>
      </c>
      <c r="F132" s="2">
        <f t="shared" si="12"/>
        <v>27703.75</v>
      </c>
      <c r="G132" s="2">
        <f t="shared" si="13"/>
        <v>5540.75</v>
      </c>
      <c r="H132" s="2">
        <v>46397.24</v>
      </c>
      <c r="I132" s="2">
        <f t="shared" si="14"/>
        <v>23198.62</v>
      </c>
      <c r="J132" s="2">
        <f xml:space="preserve"> Table1[[#This Row],[Diesel (R)]]</f>
        <v>22.04</v>
      </c>
      <c r="K132" t="str">
        <f xml:space="preserve"> Table1[[#This Row],[Diesel (R) Budget]]</f>
        <v>23.69</v>
      </c>
      <c r="L132" s="2">
        <v>22.04</v>
      </c>
      <c r="M132" t="s">
        <v>462</v>
      </c>
    </row>
    <row r="133" spans="1:13" x14ac:dyDescent="0.3">
      <c r="A133" t="s">
        <v>144</v>
      </c>
      <c r="B133" s="2">
        <v>0.37619288214127272</v>
      </c>
      <c r="C133" s="2">
        <f t="shared" si="10"/>
        <v>7.5238576428254544E-2</v>
      </c>
      <c r="D133" s="2">
        <v>121722</v>
      </c>
      <c r="E133" s="2">
        <f t="shared" si="11"/>
        <v>36516.6</v>
      </c>
      <c r="F133" s="2">
        <f t="shared" si="12"/>
        <v>30430.5</v>
      </c>
      <c r="G133" s="2">
        <f t="shared" si="13"/>
        <v>6086.1</v>
      </c>
      <c r="H133" s="2">
        <v>45790.95</v>
      </c>
      <c r="I133" s="2">
        <f t="shared" si="14"/>
        <v>22895.474999999999</v>
      </c>
      <c r="J133" s="2">
        <f xml:space="preserve"> Table1[[#This Row],[Diesel (R)]]</f>
        <v>18.52</v>
      </c>
      <c r="K133" t="str">
        <f xml:space="preserve"> Table1[[#This Row],[Diesel (R) Budget]]</f>
        <v>21.18</v>
      </c>
      <c r="L133" s="2">
        <v>18.52</v>
      </c>
      <c r="M133" t="s">
        <v>463</v>
      </c>
    </row>
    <row r="134" spans="1:13" x14ac:dyDescent="0.3">
      <c r="A134" t="s">
        <v>145</v>
      </c>
      <c r="B134" s="2">
        <v>0.25322548264350908</v>
      </c>
      <c r="C134" s="2">
        <f t="shared" si="10"/>
        <v>5.0645096528701819E-2</v>
      </c>
      <c r="D134" s="2">
        <v>128511</v>
      </c>
      <c r="E134" s="2">
        <f t="shared" si="11"/>
        <v>38553.299999999996</v>
      </c>
      <c r="F134" s="2">
        <f t="shared" si="12"/>
        <v>32127.75</v>
      </c>
      <c r="G134" s="2">
        <f t="shared" si="13"/>
        <v>6425.55</v>
      </c>
      <c r="H134" s="2">
        <v>32542.26</v>
      </c>
      <c r="I134" s="2">
        <f t="shared" si="14"/>
        <v>16271.13</v>
      </c>
      <c r="J134" s="2">
        <f xml:space="preserve"> Table1[[#This Row],[Diesel (R)]]</f>
        <v>21.32</v>
      </c>
      <c r="K134" t="str">
        <f xml:space="preserve"> Table1[[#This Row],[Diesel (R) Budget]]</f>
        <v>18.79</v>
      </c>
      <c r="L134" s="2">
        <v>21.32</v>
      </c>
      <c r="M134" t="s">
        <v>275</v>
      </c>
    </row>
    <row r="135" spans="1:13" x14ac:dyDescent="0.3">
      <c r="A135" t="s">
        <v>146</v>
      </c>
      <c r="B135" s="2">
        <v>0.37719214644926019</v>
      </c>
      <c r="C135" s="2">
        <f t="shared" si="10"/>
        <v>7.5438429289852046E-2</v>
      </c>
      <c r="D135" s="2">
        <v>109963</v>
      </c>
      <c r="E135" s="2">
        <f t="shared" si="11"/>
        <v>32988.9</v>
      </c>
      <c r="F135" s="2">
        <f t="shared" si="12"/>
        <v>27490.75</v>
      </c>
      <c r="G135" s="2">
        <f t="shared" si="13"/>
        <v>5498.1500000000005</v>
      </c>
      <c r="H135" s="2">
        <v>41477.18</v>
      </c>
      <c r="I135" s="2">
        <f t="shared" si="14"/>
        <v>20738.59</v>
      </c>
      <c r="J135" s="2">
        <f xml:space="preserve"> Table1[[#This Row],[Diesel (R)]]</f>
        <v>24.55</v>
      </c>
      <c r="K135" t="str">
        <f xml:space="preserve"> Table1[[#This Row],[Diesel (R) Budget]]</f>
        <v>24.12</v>
      </c>
      <c r="L135" s="2">
        <v>24.55</v>
      </c>
      <c r="M135" t="s">
        <v>369</v>
      </c>
    </row>
    <row r="136" spans="1:13" x14ac:dyDescent="0.3">
      <c r="A136" t="s">
        <v>147</v>
      </c>
      <c r="B136" s="2">
        <v>0.30400816729632707</v>
      </c>
      <c r="C136" s="2">
        <f t="shared" si="10"/>
        <v>6.0801633459265418E-2</v>
      </c>
      <c r="D136" s="2">
        <v>127582</v>
      </c>
      <c r="E136" s="2">
        <f t="shared" si="11"/>
        <v>38274.6</v>
      </c>
      <c r="F136" s="2">
        <f t="shared" si="12"/>
        <v>31895.5</v>
      </c>
      <c r="G136" s="2">
        <f t="shared" si="13"/>
        <v>6379.1</v>
      </c>
      <c r="H136" s="2">
        <v>38785.97</v>
      </c>
      <c r="I136" s="2">
        <f t="shared" si="14"/>
        <v>19392.985000000001</v>
      </c>
      <c r="J136" s="2">
        <f xml:space="preserve"> Table1[[#This Row],[Diesel (R)]]</f>
        <v>23.48</v>
      </c>
      <c r="K136" t="str">
        <f xml:space="preserve"> Table1[[#This Row],[Diesel (R) Budget]]</f>
        <v>19.59</v>
      </c>
      <c r="L136" s="2">
        <v>23.48</v>
      </c>
      <c r="M136" t="s">
        <v>464</v>
      </c>
    </row>
    <row r="137" spans="1:13" x14ac:dyDescent="0.3">
      <c r="A137" t="s">
        <v>148</v>
      </c>
      <c r="B137" s="2">
        <v>0.82680835286091414</v>
      </c>
      <c r="C137" s="2">
        <f t="shared" si="10"/>
        <v>0.16536167057218285</v>
      </c>
      <c r="D137" s="2">
        <v>33713</v>
      </c>
      <c r="E137" s="2">
        <f t="shared" si="11"/>
        <v>10113.9</v>
      </c>
      <c r="F137" s="2">
        <f t="shared" si="12"/>
        <v>8428.25</v>
      </c>
      <c r="G137" s="2">
        <f t="shared" si="13"/>
        <v>1685.65</v>
      </c>
      <c r="H137" s="2">
        <v>27874.19</v>
      </c>
      <c r="I137" s="2">
        <f t="shared" si="14"/>
        <v>13937.094999999999</v>
      </c>
      <c r="J137" s="2">
        <f xml:space="preserve"> Table1[[#This Row],[Diesel (R)]]</f>
        <v>20.89</v>
      </c>
      <c r="K137" t="str">
        <f xml:space="preserve"> Table1[[#This Row],[Diesel (R) Budget]]</f>
        <v>22.97</v>
      </c>
      <c r="L137" s="2">
        <v>20.89</v>
      </c>
      <c r="M137" t="s">
        <v>465</v>
      </c>
    </row>
    <row r="138" spans="1:13" x14ac:dyDescent="0.3">
      <c r="A138" t="s">
        <v>149</v>
      </c>
      <c r="B138" s="2">
        <v>0.39939884076491261</v>
      </c>
      <c r="C138" s="2">
        <f t="shared" si="10"/>
        <v>7.9879768152982533E-2</v>
      </c>
      <c r="D138" s="2">
        <v>109555</v>
      </c>
      <c r="E138" s="2">
        <f t="shared" si="11"/>
        <v>32866.5</v>
      </c>
      <c r="F138" s="2">
        <f t="shared" si="12"/>
        <v>27388.75</v>
      </c>
      <c r="G138" s="2">
        <f t="shared" si="13"/>
        <v>5477.75</v>
      </c>
      <c r="H138" s="2">
        <v>43756.14</v>
      </c>
      <c r="I138" s="2">
        <f t="shared" si="14"/>
        <v>21878.07</v>
      </c>
      <c r="J138" s="2">
        <f xml:space="preserve"> Table1[[#This Row],[Diesel (R)]]</f>
        <v>17.690000000000001</v>
      </c>
      <c r="K138" t="str">
        <f xml:space="preserve"> Table1[[#This Row],[Diesel (R) Budget]]</f>
        <v>21.41</v>
      </c>
      <c r="L138" s="2">
        <v>17.690000000000001</v>
      </c>
      <c r="M138" t="s">
        <v>325</v>
      </c>
    </row>
    <row r="139" spans="1:13" x14ac:dyDescent="0.3">
      <c r="A139" t="s">
        <v>150</v>
      </c>
      <c r="B139" s="2">
        <v>0.29255507172131151</v>
      </c>
      <c r="C139" s="2">
        <f t="shared" si="10"/>
        <v>5.8511014344262306E-2</v>
      </c>
      <c r="D139" s="2">
        <v>171776</v>
      </c>
      <c r="E139" s="2">
        <f t="shared" si="11"/>
        <v>51532.799999999996</v>
      </c>
      <c r="F139" s="2">
        <f t="shared" si="12"/>
        <v>42944</v>
      </c>
      <c r="G139" s="2">
        <f t="shared" si="13"/>
        <v>8588.8000000000011</v>
      </c>
      <c r="H139" s="2">
        <v>50253.94</v>
      </c>
      <c r="I139" s="2">
        <f t="shared" si="14"/>
        <v>25126.97</v>
      </c>
      <c r="J139" s="2">
        <f xml:space="preserve"> Table1[[#This Row],[Diesel (R)]]</f>
        <v>22.31</v>
      </c>
      <c r="K139" t="str">
        <f xml:space="preserve"> Table1[[#This Row],[Diesel (R) Budget]]</f>
        <v>23.22</v>
      </c>
      <c r="L139" s="2">
        <v>22.31</v>
      </c>
      <c r="M139" t="s">
        <v>296</v>
      </c>
    </row>
    <row r="140" spans="1:13" x14ac:dyDescent="0.3">
      <c r="A140" t="s">
        <v>151</v>
      </c>
      <c r="B140" s="2">
        <v>0.27673667096962762</v>
      </c>
      <c r="C140" s="2">
        <f t="shared" si="10"/>
        <v>5.5347334193925526E-2</v>
      </c>
      <c r="D140" s="2">
        <v>164228</v>
      </c>
      <c r="E140" s="2">
        <f t="shared" si="11"/>
        <v>49268.4</v>
      </c>
      <c r="F140" s="2">
        <f t="shared" si="12"/>
        <v>41057</v>
      </c>
      <c r="G140" s="2">
        <f t="shared" si="13"/>
        <v>8211.4</v>
      </c>
      <c r="H140" s="2">
        <v>45447.91</v>
      </c>
      <c r="I140" s="2">
        <f t="shared" si="14"/>
        <v>22723.955000000002</v>
      </c>
      <c r="J140" s="2">
        <f xml:space="preserve"> Table1[[#This Row],[Diesel (R)]]</f>
        <v>18.23</v>
      </c>
      <c r="K140" t="str">
        <f xml:space="preserve"> Table1[[#This Row],[Diesel (R) Budget]]</f>
        <v>17.81</v>
      </c>
      <c r="L140" s="2">
        <v>18.23</v>
      </c>
      <c r="M140" t="s">
        <v>466</v>
      </c>
    </row>
    <row r="141" spans="1:13" x14ac:dyDescent="0.3">
      <c r="A141" t="s">
        <v>152</v>
      </c>
      <c r="B141" s="2">
        <v>0.32941653982749874</v>
      </c>
      <c r="C141" s="2">
        <f t="shared" si="10"/>
        <v>6.5883307965499752E-2</v>
      </c>
      <c r="D141" s="2">
        <v>118260</v>
      </c>
      <c r="E141" s="2">
        <f t="shared" si="11"/>
        <v>35478</v>
      </c>
      <c r="F141" s="2">
        <f t="shared" si="12"/>
        <v>29565</v>
      </c>
      <c r="G141" s="2">
        <f t="shared" si="13"/>
        <v>5913</v>
      </c>
      <c r="H141" s="2">
        <v>38956.800000000003</v>
      </c>
      <c r="I141" s="2">
        <f t="shared" si="14"/>
        <v>19478.400000000001</v>
      </c>
      <c r="J141" s="2">
        <f xml:space="preserve"> Table1[[#This Row],[Diesel (R)]]</f>
        <v>19.670000000000002</v>
      </c>
      <c r="K141" t="str">
        <f xml:space="preserve"> Table1[[#This Row],[Diesel (R) Budget]]</f>
        <v>24.29</v>
      </c>
      <c r="L141" s="2">
        <v>19.670000000000002</v>
      </c>
      <c r="M141" t="s">
        <v>368</v>
      </c>
    </row>
    <row r="142" spans="1:13" x14ac:dyDescent="0.3">
      <c r="A142" t="s">
        <v>153</v>
      </c>
      <c r="B142" s="2">
        <v>0.33504639709392353</v>
      </c>
      <c r="C142" s="2">
        <f t="shared" si="10"/>
        <v>6.7009279418784706E-2</v>
      </c>
      <c r="D142" s="2">
        <v>171778</v>
      </c>
      <c r="E142" s="2">
        <f t="shared" si="11"/>
        <v>51533.4</v>
      </c>
      <c r="F142" s="2">
        <f t="shared" si="12"/>
        <v>42944.5</v>
      </c>
      <c r="G142" s="2">
        <f t="shared" si="13"/>
        <v>8588.9</v>
      </c>
      <c r="H142" s="2">
        <v>57553.599999999999</v>
      </c>
      <c r="I142" s="2">
        <f t="shared" si="14"/>
        <v>28776.799999999999</v>
      </c>
      <c r="J142" s="2">
        <f xml:space="preserve"> Table1[[#This Row],[Diesel (R)]]</f>
        <v>24.14</v>
      </c>
      <c r="K142" t="str">
        <f xml:space="preserve"> Table1[[#This Row],[Diesel (R) Budget]]</f>
        <v>20.75</v>
      </c>
      <c r="L142" s="2">
        <v>24.14</v>
      </c>
      <c r="M142" t="s">
        <v>280</v>
      </c>
    </row>
    <row r="143" spans="1:13" x14ac:dyDescent="0.3">
      <c r="A143" t="s">
        <v>154</v>
      </c>
      <c r="B143" s="2">
        <v>0.38869277732006674</v>
      </c>
      <c r="C143" s="2">
        <f t="shared" si="10"/>
        <v>7.7738555464013356E-2</v>
      </c>
      <c r="D143" s="2">
        <v>94674</v>
      </c>
      <c r="E143" s="2">
        <f t="shared" si="11"/>
        <v>28402.2</v>
      </c>
      <c r="F143" s="2">
        <f t="shared" si="12"/>
        <v>23668.5</v>
      </c>
      <c r="G143" s="2">
        <f t="shared" si="13"/>
        <v>4733.7</v>
      </c>
      <c r="H143" s="2">
        <v>36799.1</v>
      </c>
      <c r="I143" s="2">
        <f t="shared" si="14"/>
        <v>18399.55</v>
      </c>
      <c r="J143" s="2">
        <f xml:space="preserve"> Table1[[#This Row],[Diesel (R)]]</f>
        <v>23.06</v>
      </c>
      <c r="K143" t="str">
        <f xml:space="preserve"> Table1[[#This Row],[Diesel (R) Budget]]</f>
        <v>19.08</v>
      </c>
      <c r="L143" s="2">
        <v>23.06</v>
      </c>
      <c r="M143" t="s">
        <v>467</v>
      </c>
    </row>
    <row r="144" spans="1:13" x14ac:dyDescent="0.3">
      <c r="A144" t="s">
        <v>155</v>
      </c>
      <c r="B144" s="2">
        <v>0.29733581381221763</v>
      </c>
      <c r="C144" s="2">
        <f t="shared" si="10"/>
        <v>5.9467162762443529E-2</v>
      </c>
      <c r="D144" s="2">
        <v>131695</v>
      </c>
      <c r="E144" s="2">
        <f t="shared" si="11"/>
        <v>39508.5</v>
      </c>
      <c r="F144" s="2">
        <f t="shared" si="12"/>
        <v>32923.75</v>
      </c>
      <c r="G144" s="2">
        <f t="shared" si="13"/>
        <v>6584.75</v>
      </c>
      <c r="H144" s="2">
        <v>39157.64</v>
      </c>
      <c r="I144" s="2">
        <f t="shared" si="14"/>
        <v>19578.82</v>
      </c>
      <c r="J144" s="2">
        <f xml:space="preserve"> Table1[[#This Row],[Diesel (R)]]</f>
        <v>21.19</v>
      </c>
      <c r="K144" t="str">
        <f xml:space="preserve"> Table1[[#This Row],[Diesel (R) Budget]]</f>
        <v>23.48</v>
      </c>
      <c r="L144" s="2">
        <v>21.19</v>
      </c>
      <c r="M144" t="s">
        <v>331</v>
      </c>
    </row>
    <row r="145" spans="1:13" x14ac:dyDescent="0.3">
      <c r="A145" t="s">
        <v>156</v>
      </c>
      <c r="B145" s="2">
        <v>0.20768368862021422</v>
      </c>
      <c r="C145" s="2">
        <f t="shared" si="10"/>
        <v>4.1536737724042844E-2</v>
      </c>
      <c r="D145" s="2">
        <v>188580</v>
      </c>
      <c r="E145" s="2">
        <f t="shared" si="11"/>
        <v>56574</v>
      </c>
      <c r="F145" s="2">
        <f t="shared" si="12"/>
        <v>47145</v>
      </c>
      <c r="G145" s="2">
        <f t="shared" si="13"/>
        <v>9429</v>
      </c>
      <c r="H145" s="2">
        <v>39164.99</v>
      </c>
      <c r="I145" s="2">
        <f t="shared" si="14"/>
        <v>19582.494999999999</v>
      </c>
      <c r="J145" s="2">
        <f xml:space="preserve"> Table1[[#This Row],[Diesel (R)]]</f>
        <v>20.78</v>
      </c>
      <c r="K145" t="str">
        <f xml:space="preserve"> Table1[[#This Row],[Diesel (R) Budget]]</f>
        <v>21.63</v>
      </c>
      <c r="L145" s="2">
        <v>20.78</v>
      </c>
      <c r="M145" t="s">
        <v>394</v>
      </c>
    </row>
    <row r="146" spans="1:13" x14ac:dyDescent="0.3">
      <c r="A146" t="s">
        <v>157</v>
      </c>
      <c r="B146" s="2">
        <v>0.23685011715938545</v>
      </c>
      <c r="C146" s="2">
        <f t="shared" si="10"/>
        <v>4.7370023431877094E-2</v>
      </c>
      <c r="D146" s="2">
        <v>184791</v>
      </c>
      <c r="E146" s="2">
        <f t="shared" si="11"/>
        <v>55437.299999999996</v>
      </c>
      <c r="F146" s="2">
        <f t="shared" si="12"/>
        <v>46197.75</v>
      </c>
      <c r="G146" s="2">
        <f t="shared" si="13"/>
        <v>9239.5500000000011</v>
      </c>
      <c r="H146" s="2">
        <v>43767.77</v>
      </c>
      <c r="I146" s="2">
        <f t="shared" si="14"/>
        <v>21883.884999999998</v>
      </c>
      <c r="J146" s="2">
        <f xml:space="preserve"> Table1[[#This Row],[Diesel (R)]]</f>
        <v>16.940000000000001</v>
      </c>
      <c r="K146" t="str">
        <f xml:space="preserve"> Table1[[#This Row],[Diesel (R) Budget]]</f>
        <v>18.47</v>
      </c>
      <c r="L146" s="2">
        <v>16.940000000000001</v>
      </c>
      <c r="M146" t="s">
        <v>337</v>
      </c>
    </row>
    <row r="147" spans="1:13" x14ac:dyDescent="0.3">
      <c r="A147" t="s">
        <v>158</v>
      </c>
      <c r="B147" s="2">
        <v>0.26462294329302682</v>
      </c>
      <c r="C147" s="2">
        <f t="shared" si="10"/>
        <v>5.2924588658605366E-2</v>
      </c>
      <c r="D147" s="2">
        <v>200381</v>
      </c>
      <c r="E147" s="2">
        <f t="shared" si="11"/>
        <v>60114.299999999996</v>
      </c>
      <c r="F147" s="2">
        <f t="shared" si="12"/>
        <v>50095.25</v>
      </c>
      <c r="G147" s="2">
        <f t="shared" si="13"/>
        <v>10019.050000000001</v>
      </c>
      <c r="H147" s="2">
        <v>53025.41</v>
      </c>
      <c r="I147" s="2">
        <f t="shared" si="14"/>
        <v>26512.705000000002</v>
      </c>
      <c r="J147" s="2">
        <f xml:space="preserve"> Table1[[#This Row],[Diesel (R)]]</f>
        <v>22.81</v>
      </c>
      <c r="K147" t="str">
        <f xml:space="preserve"> Table1[[#This Row],[Diesel (R) Budget]]</f>
        <v>24.54</v>
      </c>
      <c r="L147" s="2">
        <v>22.81</v>
      </c>
      <c r="M147" t="s">
        <v>468</v>
      </c>
    </row>
    <row r="148" spans="1:13" x14ac:dyDescent="0.3">
      <c r="A148" t="s">
        <v>159</v>
      </c>
      <c r="B148" s="2">
        <v>0.32983753059785093</v>
      </c>
      <c r="C148" s="2">
        <f t="shared" si="10"/>
        <v>6.5967506119570182E-2</v>
      </c>
      <c r="D148" s="2">
        <v>120515</v>
      </c>
      <c r="E148" s="2">
        <f t="shared" si="11"/>
        <v>36154.5</v>
      </c>
      <c r="F148" s="2">
        <f t="shared" si="12"/>
        <v>30128.75</v>
      </c>
      <c r="G148" s="2">
        <f t="shared" si="13"/>
        <v>6025.75</v>
      </c>
      <c r="H148" s="2">
        <v>39750.370000000003</v>
      </c>
      <c r="I148" s="2">
        <f t="shared" si="14"/>
        <v>19875.185000000001</v>
      </c>
      <c r="J148" s="2">
        <f xml:space="preserve"> Table1[[#This Row],[Diesel (R)]]</f>
        <v>23.99</v>
      </c>
      <c r="K148" t="str">
        <f xml:space="preserve"> Table1[[#This Row],[Diesel (R) Budget]]</f>
        <v>19.92</v>
      </c>
      <c r="L148" s="2">
        <v>23.99</v>
      </c>
      <c r="M148" t="s">
        <v>469</v>
      </c>
    </row>
    <row r="149" spans="1:13" x14ac:dyDescent="0.3">
      <c r="A149" t="s">
        <v>160</v>
      </c>
      <c r="B149" s="2">
        <v>0.36989751934224624</v>
      </c>
      <c r="C149" s="2">
        <f t="shared" si="10"/>
        <v>7.3979503868449245E-2</v>
      </c>
      <c r="D149" s="2">
        <v>127829</v>
      </c>
      <c r="E149" s="2">
        <f t="shared" si="11"/>
        <v>38348.699999999997</v>
      </c>
      <c r="F149" s="2">
        <f t="shared" si="12"/>
        <v>31957.25</v>
      </c>
      <c r="G149" s="2">
        <f t="shared" si="13"/>
        <v>6391.4500000000007</v>
      </c>
      <c r="H149" s="2">
        <v>47283.63</v>
      </c>
      <c r="I149" s="2">
        <f t="shared" si="14"/>
        <v>23641.814999999999</v>
      </c>
      <c r="J149" s="2">
        <f xml:space="preserve"> Table1[[#This Row],[Diesel (R)]]</f>
        <v>19.88</v>
      </c>
      <c r="K149" t="str">
        <f xml:space="preserve"> Table1[[#This Row],[Diesel (R) Budget]]</f>
        <v>22.19</v>
      </c>
      <c r="L149" s="2">
        <v>19.88</v>
      </c>
      <c r="M149" t="s">
        <v>300</v>
      </c>
    </row>
    <row r="150" spans="1:13" x14ac:dyDescent="0.3">
      <c r="A150" t="s">
        <v>161</v>
      </c>
      <c r="B150" s="2">
        <v>0.2194605862249385</v>
      </c>
      <c r="C150" s="2">
        <f t="shared" si="10"/>
        <v>4.3892117244987705E-2</v>
      </c>
      <c r="D150" s="2">
        <v>179658</v>
      </c>
      <c r="E150" s="2">
        <f t="shared" si="11"/>
        <v>53897.4</v>
      </c>
      <c r="F150" s="2">
        <f t="shared" si="12"/>
        <v>44914.5</v>
      </c>
      <c r="G150" s="2">
        <f t="shared" si="13"/>
        <v>8982.9</v>
      </c>
      <c r="H150" s="2">
        <v>39427.85</v>
      </c>
      <c r="I150" s="2">
        <f t="shared" si="14"/>
        <v>19713.924999999999</v>
      </c>
      <c r="J150" s="2">
        <f xml:space="preserve"> Table1[[#This Row],[Diesel (R)]]</f>
        <v>24.62</v>
      </c>
      <c r="K150" t="str">
        <f xml:space="preserve"> Table1[[#This Row],[Diesel (R) Budget]]</f>
        <v>21.97</v>
      </c>
      <c r="L150" s="2">
        <v>24.62</v>
      </c>
      <c r="M150" t="s">
        <v>470</v>
      </c>
    </row>
    <row r="151" spans="1:13" x14ac:dyDescent="0.3">
      <c r="A151" t="s">
        <v>162</v>
      </c>
      <c r="B151" s="2">
        <v>0.31953453900101342</v>
      </c>
      <c r="C151" s="2">
        <f t="shared" si="10"/>
        <v>6.3906907800202681E-2</v>
      </c>
      <c r="D151" s="2">
        <v>198341</v>
      </c>
      <c r="E151" s="2">
        <f t="shared" si="11"/>
        <v>59502.299999999996</v>
      </c>
      <c r="F151" s="2">
        <f t="shared" si="12"/>
        <v>49585.25</v>
      </c>
      <c r="G151" s="2">
        <f t="shared" si="13"/>
        <v>9917.0500000000011</v>
      </c>
      <c r="H151" s="2">
        <v>63376.800000000003</v>
      </c>
      <c r="I151" s="2">
        <f t="shared" si="14"/>
        <v>31688.400000000001</v>
      </c>
      <c r="J151" s="2">
        <f xml:space="preserve"> Table1[[#This Row],[Diesel (R)]]</f>
        <v>18.47</v>
      </c>
      <c r="K151" t="str">
        <f xml:space="preserve"> Table1[[#This Row],[Diesel (R) Budget]]</f>
        <v>23.37</v>
      </c>
      <c r="L151" s="2">
        <v>18.47</v>
      </c>
      <c r="M151" t="s">
        <v>324</v>
      </c>
    </row>
    <row r="152" spans="1:13" x14ac:dyDescent="0.3">
      <c r="A152" t="s">
        <v>163</v>
      </c>
      <c r="B152" s="2">
        <v>0.27799399161092847</v>
      </c>
      <c r="C152" s="2">
        <f t="shared" si="10"/>
        <v>5.55987983221857E-2</v>
      </c>
      <c r="D152" s="2">
        <v>158778</v>
      </c>
      <c r="E152" s="2">
        <f t="shared" si="11"/>
        <v>47633.4</v>
      </c>
      <c r="F152" s="2">
        <f t="shared" si="12"/>
        <v>39694.5</v>
      </c>
      <c r="G152" s="2">
        <f t="shared" si="13"/>
        <v>7938.9000000000005</v>
      </c>
      <c r="H152" s="2">
        <v>44139.33</v>
      </c>
      <c r="I152" s="2">
        <f t="shared" si="14"/>
        <v>22069.665000000001</v>
      </c>
      <c r="J152" s="2">
        <f xml:space="preserve"> Table1[[#This Row],[Diesel (R)]]</f>
        <v>20.190000000000001</v>
      </c>
      <c r="K152" t="str">
        <f xml:space="preserve"> Table1[[#This Row],[Diesel (R) Budget]]</f>
        <v>17.94</v>
      </c>
      <c r="L152" s="2">
        <v>20.190000000000001</v>
      </c>
      <c r="M152" t="s">
        <v>471</v>
      </c>
    </row>
    <row r="153" spans="1:13" x14ac:dyDescent="0.3">
      <c r="A153" t="s">
        <v>164</v>
      </c>
      <c r="B153" s="2">
        <v>0.38370645139248166</v>
      </c>
      <c r="C153" s="2">
        <f t="shared" si="10"/>
        <v>7.6741290278496341E-2</v>
      </c>
      <c r="D153" s="2">
        <v>102443</v>
      </c>
      <c r="E153" s="2">
        <f t="shared" si="11"/>
        <v>30732.899999999998</v>
      </c>
      <c r="F153" s="2">
        <f t="shared" si="12"/>
        <v>25610.75</v>
      </c>
      <c r="G153" s="2">
        <f t="shared" si="13"/>
        <v>5122.1500000000005</v>
      </c>
      <c r="H153" s="2">
        <v>39308.04</v>
      </c>
      <c r="I153" s="2">
        <f t="shared" si="14"/>
        <v>19654.02</v>
      </c>
      <c r="J153" s="2">
        <f xml:space="preserve"> Table1[[#This Row],[Diesel (R)]]</f>
        <v>21.51</v>
      </c>
      <c r="K153" t="str">
        <f xml:space="preserve"> Table1[[#This Row],[Diesel (R) Budget]]</f>
        <v>24.11</v>
      </c>
      <c r="L153" s="2">
        <v>21.51</v>
      </c>
      <c r="M153" t="s">
        <v>311</v>
      </c>
    </row>
    <row r="154" spans="1:13" x14ac:dyDescent="0.3">
      <c r="A154" t="s">
        <v>165</v>
      </c>
      <c r="B154" s="2">
        <v>0.25345194024650491</v>
      </c>
      <c r="C154" s="2">
        <f t="shared" si="10"/>
        <v>5.0690388049300983E-2</v>
      </c>
      <c r="D154" s="2">
        <v>160727</v>
      </c>
      <c r="E154" s="2">
        <f t="shared" si="11"/>
        <v>48218.1</v>
      </c>
      <c r="F154" s="2">
        <f t="shared" si="12"/>
        <v>40181.75</v>
      </c>
      <c r="G154" s="2">
        <f t="shared" si="13"/>
        <v>8036.35</v>
      </c>
      <c r="H154" s="2">
        <v>40736.57</v>
      </c>
      <c r="I154" s="2">
        <f t="shared" si="14"/>
        <v>20368.285</v>
      </c>
      <c r="J154" s="2">
        <f xml:space="preserve"> Table1[[#This Row],[Diesel (R)]]</f>
        <v>22.88</v>
      </c>
      <c r="K154" t="str">
        <f xml:space="preserve"> Table1[[#This Row],[Diesel (R) Budget]]</f>
        <v>20.06</v>
      </c>
      <c r="L154" s="2">
        <v>22.88</v>
      </c>
      <c r="M154" t="s">
        <v>472</v>
      </c>
    </row>
    <row r="155" spans="1:13" x14ac:dyDescent="0.3">
      <c r="A155" t="s">
        <v>166</v>
      </c>
      <c r="B155" s="2">
        <v>0.24180689836283092</v>
      </c>
      <c r="C155" s="2">
        <f t="shared" si="10"/>
        <v>4.8361379672566186E-2</v>
      </c>
      <c r="D155" s="2">
        <v>144701</v>
      </c>
      <c r="E155" s="2">
        <f t="shared" si="11"/>
        <v>43410.299999999996</v>
      </c>
      <c r="F155" s="2">
        <f t="shared" si="12"/>
        <v>36175.25</v>
      </c>
      <c r="G155" s="2">
        <f t="shared" si="13"/>
        <v>7235.05</v>
      </c>
      <c r="H155" s="2">
        <v>34989.699999999997</v>
      </c>
      <c r="I155" s="2">
        <f t="shared" si="14"/>
        <v>17494.849999999999</v>
      </c>
      <c r="J155" s="2">
        <f xml:space="preserve"> Table1[[#This Row],[Diesel (R)]]</f>
        <v>23.39</v>
      </c>
      <c r="K155" t="str">
        <f xml:space="preserve"> Table1[[#This Row],[Diesel (R) Budget]]</f>
        <v>19.66</v>
      </c>
      <c r="L155" s="2">
        <v>23.39</v>
      </c>
      <c r="M155" t="s">
        <v>277</v>
      </c>
    </row>
    <row r="156" spans="1:13" x14ac:dyDescent="0.3">
      <c r="A156" t="s">
        <v>167</v>
      </c>
      <c r="B156" s="2" t="e">
        <v>#DIV/0!</v>
      </c>
      <c r="C156" s="2" t="e">
        <f t="shared" si="10"/>
        <v>#DIV/0!</v>
      </c>
      <c r="D156" s="2">
        <v>0</v>
      </c>
      <c r="E156" s="2">
        <f t="shared" si="11"/>
        <v>0</v>
      </c>
      <c r="F156" s="2">
        <f t="shared" si="12"/>
        <v>0</v>
      </c>
      <c r="G156" s="2">
        <f t="shared" si="13"/>
        <v>0</v>
      </c>
      <c r="H156" s="2">
        <v>1088.8699999999999</v>
      </c>
      <c r="I156" s="2">
        <f t="shared" si="14"/>
        <v>544.43499999999995</v>
      </c>
      <c r="J156" s="2">
        <f xml:space="preserve"> Table1[[#This Row],[Diesel (R)]]</f>
        <v>19.27</v>
      </c>
      <c r="K156" t="str">
        <f xml:space="preserve"> Table1[[#This Row],[Diesel (R) Budget]]</f>
        <v>23.83</v>
      </c>
      <c r="L156" s="2">
        <v>19.27</v>
      </c>
      <c r="M156" t="s">
        <v>440</v>
      </c>
    </row>
    <row r="157" spans="1:13" x14ac:dyDescent="0.3">
      <c r="A157" t="s">
        <v>168</v>
      </c>
      <c r="B157" s="2">
        <v>0.32885701295410164</v>
      </c>
      <c r="C157" s="2">
        <f t="shared" si="10"/>
        <v>6.577140259082033E-2</v>
      </c>
      <c r="D157" s="2">
        <v>134166</v>
      </c>
      <c r="E157" s="2">
        <f t="shared" si="11"/>
        <v>40249.799999999996</v>
      </c>
      <c r="F157" s="2">
        <f t="shared" si="12"/>
        <v>33541.5</v>
      </c>
      <c r="G157" s="2">
        <f t="shared" si="13"/>
        <v>6708.3</v>
      </c>
      <c r="H157" s="2">
        <v>44121.43</v>
      </c>
      <c r="I157" s="2">
        <f t="shared" si="14"/>
        <v>22060.715</v>
      </c>
      <c r="J157" s="2">
        <f xml:space="preserve"> Table1[[#This Row],[Diesel (R)]]</f>
        <v>18.989999999999998</v>
      </c>
      <c r="K157" t="str">
        <f xml:space="preserve"> Table1[[#This Row],[Diesel (R) Budget]]</f>
        <v>21.34</v>
      </c>
      <c r="L157" s="2">
        <v>18.989999999999998</v>
      </c>
      <c r="M157" t="s">
        <v>473</v>
      </c>
    </row>
    <row r="158" spans="1:13" x14ac:dyDescent="0.3">
      <c r="A158" t="s">
        <v>169</v>
      </c>
      <c r="B158" s="2">
        <v>0.45901860534187577</v>
      </c>
      <c r="C158" s="2">
        <f t="shared" si="10"/>
        <v>9.1803721068375158E-2</v>
      </c>
      <c r="D158" s="2">
        <v>94274</v>
      </c>
      <c r="E158" s="2">
        <f t="shared" si="11"/>
        <v>28282.2</v>
      </c>
      <c r="F158" s="2">
        <f t="shared" si="12"/>
        <v>23568.5</v>
      </c>
      <c r="G158" s="2">
        <f t="shared" si="13"/>
        <v>4713.7</v>
      </c>
      <c r="H158" s="2">
        <v>43273.52</v>
      </c>
      <c r="I158" s="2">
        <f t="shared" si="14"/>
        <v>21636.76</v>
      </c>
      <c r="J158" s="2">
        <f xml:space="preserve"> Table1[[#This Row],[Diesel (R)]]</f>
        <v>24.36</v>
      </c>
      <c r="K158" t="str">
        <f xml:space="preserve"> Table1[[#This Row],[Diesel (R) Budget]]</f>
        <v>18.53</v>
      </c>
      <c r="L158" s="2">
        <v>24.36</v>
      </c>
      <c r="M158" t="s">
        <v>474</v>
      </c>
    </row>
    <row r="159" spans="1:13" x14ac:dyDescent="0.3">
      <c r="A159" t="s">
        <v>170</v>
      </c>
      <c r="B159" s="2">
        <v>0.22996365810205324</v>
      </c>
      <c r="C159" s="2">
        <f t="shared" si="10"/>
        <v>4.5992731620410648E-2</v>
      </c>
      <c r="D159" s="2">
        <v>168951</v>
      </c>
      <c r="E159" s="2">
        <f t="shared" si="11"/>
        <v>50685.299999999996</v>
      </c>
      <c r="F159" s="2">
        <f t="shared" si="12"/>
        <v>42237.75</v>
      </c>
      <c r="G159" s="2">
        <f t="shared" si="13"/>
        <v>8447.5500000000011</v>
      </c>
      <c r="H159" s="2">
        <v>38852.589999999997</v>
      </c>
      <c r="I159" s="2">
        <f t="shared" si="14"/>
        <v>19426.294999999998</v>
      </c>
      <c r="J159" s="2">
        <f xml:space="preserve"> Table1[[#This Row],[Diesel (R)]]</f>
        <v>20.440000000000001</v>
      </c>
      <c r="K159" t="str">
        <f xml:space="preserve"> Table1[[#This Row],[Diesel (R) Budget]]</f>
        <v>24.32</v>
      </c>
      <c r="L159" s="2">
        <v>20.440000000000001</v>
      </c>
      <c r="M159" t="s">
        <v>313</v>
      </c>
    </row>
    <row r="160" spans="1:13" x14ac:dyDescent="0.3">
      <c r="A160" t="s">
        <v>171</v>
      </c>
      <c r="B160" s="2">
        <v>0.31028323379102274</v>
      </c>
      <c r="C160" s="2">
        <f t="shared" si="10"/>
        <v>6.2056646758204548E-2</v>
      </c>
      <c r="D160" s="2">
        <v>178651</v>
      </c>
      <c r="E160" s="2">
        <f t="shared" si="11"/>
        <v>53595.299999999996</v>
      </c>
      <c r="F160" s="2">
        <f t="shared" si="12"/>
        <v>44662.75</v>
      </c>
      <c r="G160" s="2">
        <f t="shared" si="13"/>
        <v>8932.5500000000011</v>
      </c>
      <c r="H160" s="2">
        <v>55432.41</v>
      </c>
      <c r="I160" s="2">
        <f t="shared" si="14"/>
        <v>27716.205000000002</v>
      </c>
      <c r="J160" s="2">
        <f xml:space="preserve"> Table1[[#This Row],[Diesel (R)]]</f>
        <v>21.96</v>
      </c>
      <c r="K160" t="str">
        <f xml:space="preserve"> Table1[[#This Row],[Diesel (R) Budget]]</f>
        <v>19.27</v>
      </c>
      <c r="L160" s="2">
        <v>21.96</v>
      </c>
      <c r="M160" t="s">
        <v>338</v>
      </c>
    </row>
    <row r="161" spans="1:13" x14ac:dyDescent="0.3">
      <c r="A161" t="s">
        <v>172</v>
      </c>
      <c r="B161" s="2">
        <v>0.23513689205007463</v>
      </c>
      <c r="C161" s="2">
        <f t="shared" si="10"/>
        <v>4.7027378410014926E-2</v>
      </c>
      <c r="D161" s="2">
        <v>223826</v>
      </c>
      <c r="E161" s="2">
        <f t="shared" si="11"/>
        <v>67147.8</v>
      </c>
      <c r="F161" s="2">
        <f t="shared" si="12"/>
        <v>55956.5</v>
      </c>
      <c r="G161" s="2">
        <f t="shared" si="13"/>
        <v>11191.300000000001</v>
      </c>
      <c r="H161" s="2">
        <v>52629.75</v>
      </c>
      <c r="I161" s="2">
        <f t="shared" si="14"/>
        <v>26314.875</v>
      </c>
      <c r="J161" s="2">
        <f xml:space="preserve"> Table1[[#This Row],[Diesel (R)]]</f>
        <v>22.13</v>
      </c>
      <c r="K161" t="str">
        <f xml:space="preserve"> Table1[[#This Row],[Diesel (R) Budget]]</f>
        <v>22.78</v>
      </c>
      <c r="L161" s="2">
        <v>22.13</v>
      </c>
      <c r="M161" t="s">
        <v>475</v>
      </c>
    </row>
    <row r="162" spans="1:13" x14ac:dyDescent="0.3">
      <c r="A162" t="s">
        <v>173</v>
      </c>
      <c r="B162" s="2">
        <v>0.26418118560149872</v>
      </c>
      <c r="C162" s="2">
        <f t="shared" si="10"/>
        <v>5.2836237120299751E-2</v>
      </c>
      <c r="D162" s="2">
        <v>112095</v>
      </c>
      <c r="E162" s="2">
        <f t="shared" si="11"/>
        <v>33628.5</v>
      </c>
      <c r="F162" s="2">
        <f t="shared" si="12"/>
        <v>28023.75</v>
      </c>
      <c r="G162" s="2">
        <f t="shared" si="13"/>
        <v>5604.75</v>
      </c>
      <c r="H162" s="2">
        <v>29613.39</v>
      </c>
      <c r="I162" s="2">
        <f t="shared" si="14"/>
        <v>14806.695</v>
      </c>
      <c r="J162" s="2">
        <f xml:space="preserve"> Table1[[#This Row],[Diesel (R)]]</f>
        <v>17.41</v>
      </c>
      <c r="K162" t="str">
        <f xml:space="preserve"> Table1[[#This Row],[Diesel (R) Budget]]</f>
        <v>21.56</v>
      </c>
      <c r="L162" s="2">
        <v>17.41</v>
      </c>
      <c r="M162" t="s">
        <v>298</v>
      </c>
    </row>
    <row r="163" spans="1:13" x14ac:dyDescent="0.3">
      <c r="A163" t="s">
        <v>174</v>
      </c>
      <c r="B163" s="2">
        <v>0.2801385518767277</v>
      </c>
      <c r="C163" s="2">
        <f t="shared" si="10"/>
        <v>5.6027710375345541E-2</v>
      </c>
      <c r="D163" s="2">
        <v>177623</v>
      </c>
      <c r="E163" s="2">
        <f t="shared" si="11"/>
        <v>53286.9</v>
      </c>
      <c r="F163" s="2">
        <f t="shared" si="12"/>
        <v>44405.75</v>
      </c>
      <c r="G163" s="2">
        <f t="shared" si="13"/>
        <v>8881.15</v>
      </c>
      <c r="H163" s="2">
        <v>49759.05</v>
      </c>
      <c r="I163" s="2">
        <f t="shared" si="14"/>
        <v>24879.525000000001</v>
      </c>
      <c r="J163" s="2">
        <f xml:space="preserve"> Table1[[#This Row],[Diesel (R)]]</f>
        <v>23.53</v>
      </c>
      <c r="K163" t="str">
        <f xml:space="preserve"> Table1[[#This Row],[Diesel (R) Budget]]</f>
        <v>23.05</v>
      </c>
      <c r="L163" s="2">
        <v>23.53</v>
      </c>
      <c r="M163" t="s">
        <v>476</v>
      </c>
    </row>
    <row r="164" spans="1:13" x14ac:dyDescent="0.3">
      <c r="A164" t="s">
        <v>175</v>
      </c>
      <c r="B164" s="2">
        <v>0.33767634826294046</v>
      </c>
      <c r="C164" s="2">
        <f t="shared" si="10"/>
        <v>6.753526965258809E-2</v>
      </c>
      <c r="D164" s="2">
        <v>145706</v>
      </c>
      <c r="E164" s="2">
        <f t="shared" si="11"/>
        <v>43711.799999999996</v>
      </c>
      <c r="F164" s="2">
        <f t="shared" si="12"/>
        <v>36426.5</v>
      </c>
      <c r="G164" s="2">
        <f t="shared" si="13"/>
        <v>7285.3</v>
      </c>
      <c r="H164" s="2">
        <v>49201.47</v>
      </c>
      <c r="I164" s="2">
        <f t="shared" si="14"/>
        <v>24600.735000000001</v>
      </c>
      <c r="J164" s="2">
        <f xml:space="preserve"> Table1[[#This Row],[Diesel (R)]]</f>
        <v>22.22</v>
      </c>
      <c r="K164" t="str">
        <f xml:space="preserve"> Table1[[#This Row],[Diesel (R) Budget]]</f>
        <v>17.62</v>
      </c>
      <c r="L164" s="2">
        <v>22.22</v>
      </c>
      <c r="M164" t="s">
        <v>477</v>
      </c>
    </row>
    <row r="165" spans="1:13" x14ac:dyDescent="0.3">
      <c r="A165" t="s">
        <v>176</v>
      </c>
      <c r="B165" s="2">
        <v>0.27061102347592092</v>
      </c>
      <c r="C165" s="2">
        <f t="shared" si="10"/>
        <v>5.4122204695184188E-2</v>
      </c>
      <c r="D165" s="2">
        <v>150878</v>
      </c>
      <c r="E165" s="2">
        <f t="shared" si="11"/>
        <v>45263.4</v>
      </c>
      <c r="F165" s="2">
        <f t="shared" si="12"/>
        <v>37719.5</v>
      </c>
      <c r="G165" s="2">
        <f t="shared" si="13"/>
        <v>7543.9000000000005</v>
      </c>
      <c r="H165" s="2">
        <v>40829.25</v>
      </c>
      <c r="I165" s="2">
        <f t="shared" si="14"/>
        <v>20414.625</v>
      </c>
      <c r="J165" s="2">
        <f xml:space="preserve"> Table1[[#This Row],[Diesel (R)]]</f>
        <v>20.57</v>
      </c>
      <c r="K165" t="str">
        <f xml:space="preserve"> Table1[[#This Row],[Diesel (R) Budget]]</f>
        <v>24.73</v>
      </c>
      <c r="L165" s="2">
        <v>20.57</v>
      </c>
      <c r="M165" t="s">
        <v>354</v>
      </c>
    </row>
    <row r="166" spans="1:13" x14ac:dyDescent="0.3">
      <c r="A166" t="s">
        <v>177</v>
      </c>
      <c r="B166" s="2">
        <v>0.25834967896164396</v>
      </c>
      <c r="C166" s="2">
        <f t="shared" si="10"/>
        <v>5.1669935792328793E-2</v>
      </c>
      <c r="D166" s="2">
        <v>130514</v>
      </c>
      <c r="E166" s="2">
        <f t="shared" si="11"/>
        <v>39154.199999999997</v>
      </c>
      <c r="F166" s="2">
        <f t="shared" si="12"/>
        <v>32628.5</v>
      </c>
      <c r="G166" s="2">
        <f t="shared" si="13"/>
        <v>6525.7000000000007</v>
      </c>
      <c r="H166" s="2">
        <v>33718.25</v>
      </c>
      <c r="I166" s="2">
        <f t="shared" si="14"/>
        <v>16859.125</v>
      </c>
      <c r="J166" s="2">
        <f xml:space="preserve"> Table1[[#This Row],[Diesel (R)]]</f>
        <v>18.66</v>
      </c>
      <c r="K166" t="str">
        <f xml:space="preserve"> Table1[[#This Row],[Diesel (R) Budget]]</f>
        <v>20.18</v>
      </c>
      <c r="L166" s="2">
        <v>18.66</v>
      </c>
      <c r="M166" t="s">
        <v>478</v>
      </c>
    </row>
    <row r="167" spans="1:13" x14ac:dyDescent="0.3">
      <c r="A167" t="s">
        <v>178</v>
      </c>
      <c r="B167" s="2">
        <v>0.30079782880282596</v>
      </c>
      <c r="C167" s="2">
        <f t="shared" si="10"/>
        <v>6.0159565760565192E-2</v>
      </c>
      <c r="D167" s="2">
        <v>139278</v>
      </c>
      <c r="E167" s="2">
        <f t="shared" si="11"/>
        <v>41783.4</v>
      </c>
      <c r="F167" s="2">
        <f t="shared" si="12"/>
        <v>34819.5</v>
      </c>
      <c r="G167" s="2">
        <f t="shared" si="13"/>
        <v>6963.9000000000005</v>
      </c>
      <c r="H167" s="2">
        <v>41894.519999999997</v>
      </c>
      <c r="I167" s="2">
        <f t="shared" si="14"/>
        <v>20947.259999999998</v>
      </c>
      <c r="J167" s="2">
        <f xml:space="preserve"> Table1[[#This Row],[Diesel (R)]]</f>
        <v>23.72</v>
      </c>
      <c r="K167" t="str">
        <f xml:space="preserve"> Table1[[#This Row],[Diesel (R) Budget]]</f>
        <v>19.39</v>
      </c>
      <c r="L167" s="2">
        <v>23.72</v>
      </c>
      <c r="M167" t="s">
        <v>345</v>
      </c>
    </row>
    <row r="168" spans="1:13" x14ac:dyDescent="0.3">
      <c r="A168" t="s">
        <v>179</v>
      </c>
      <c r="B168" s="2">
        <v>0.36400469521076212</v>
      </c>
      <c r="C168" s="2">
        <f t="shared" si="10"/>
        <v>7.2800939042152429E-2</v>
      </c>
      <c r="D168" s="2">
        <v>162719</v>
      </c>
      <c r="E168" s="2">
        <f t="shared" si="11"/>
        <v>48815.7</v>
      </c>
      <c r="F168" s="2">
        <f t="shared" si="12"/>
        <v>40679.75</v>
      </c>
      <c r="G168" s="2">
        <f t="shared" si="13"/>
        <v>8135.9500000000007</v>
      </c>
      <c r="H168" s="2">
        <v>59230.48</v>
      </c>
      <c r="I168" s="2">
        <f t="shared" si="14"/>
        <v>29615.24</v>
      </c>
      <c r="J168" s="2">
        <f xml:space="preserve"> Table1[[#This Row],[Diesel (R)]]</f>
        <v>24.27</v>
      </c>
      <c r="K168" t="str">
        <f xml:space="preserve"> Table1[[#This Row],[Diesel (R) Budget]]</f>
        <v>23.91</v>
      </c>
      <c r="L168" s="2">
        <v>24.27</v>
      </c>
      <c r="M168" t="s">
        <v>379</v>
      </c>
    </row>
    <row r="169" spans="1:13" x14ac:dyDescent="0.3">
      <c r="A169" t="s">
        <v>180</v>
      </c>
      <c r="B169" s="2">
        <v>0.26651020982090801</v>
      </c>
      <c r="C169" s="2">
        <f t="shared" si="10"/>
        <v>5.3302041964181604E-2</v>
      </c>
      <c r="D169" s="2">
        <v>145791</v>
      </c>
      <c r="E169" s="2">
        <f t="shared" si="11"/>
        <v>43737.299999999996</v>
      </c>
      <c r="F169" s="2">
        <f t="shared" si="12"/>
        <v>36447.75</v>
      </c>
      <c r="G169" s="2">
        <f t="shared" si="13"/>
        <v>7289.55</v>
      </c>
      <c r="H169" s="2">
        <v>38854.79</v>
      </c>
      <c r="I169" s="2">
        <f t="shared" si="14"/>
        <v>19427.395</v>
      </c>
      <c r="J169" s="2">
        <f xml:space="preserve"> Table1[[#This Row],[Diesel (R)]]</f>
        <v>19.39</v>
      </c>
      <c r="K169" t="str">
        <f xml:space="preserve"> Table1[[#This Row],[Diesel (R) Budget]]</f>
        <v>21.89</v>
      </c>
      <c r="L169" s="2">
        <v>19.39</v>
      </c>
      <c r="M169" t="s">
        <v>479</v>
      </c>
    </row>
    <row r="170" spans="1:13" x14ac:dyDescent="0.3">
      <c r="A170" t="s">
        <v>181</v>
      </c>
      <c r="B170" s="2">
        <v>0.27577755667303089</v>
      </c>
      <c r="C170" s="2">
        <f t="shared" si="10"/>
        <v>5.515551133460618E-2</v>
      </c>
      <c r="D170" s="2">
        <v>148748</v>
      </c>
      <c r="E170" s="2">
        <f t="shared" si="11"/>
        <v>44624.4</v>
      </c>
      <c r="F170" s="2">
        <f t="shared" si="12"/>
        <v>37187</v>
      </c>
      <c r="G170" s="2">
        <f t="shared" si="13"/>
        <v>7437.4000000000005</v>
      </c>
      <c r="H170" s="2">
        <v>41021.360000000001</v>
      </c>
      <c r="I170" s="2">
        <f t="shared" si="14"/>
        <v>20510.68</v>
      </c>
      <c r="J170" s="2">
        <f xml:space="preserve"> Table1[[#This Row],[Diesel (R)]]</f>
        <v>20.03</v>
      </c>
      <c r="K170" t="str">
        <f xml:space="preserve"> Table1[[#This Row],[Diesel (R) Budget]]</f>
        <v>18.71</v>
      </c>
      <c r="L170" s="2">
        <v>20.03</v>
      </c>
      <c r="M170" t="s">
        <v>480</v>
      </c>
    </row>
    <row r="171" spans="1:13" x14ac:dyDescent="0.3">
      <c r="A171" t="s">
        <v>182</v>
      </c>
      <c r="B171" s="2">
        <v>0.28662799633127589</v>
      </c>
      <c r="C171" s="2">
        <f t="shared" si="10"/>
        <v>5.7325599266255182E-2</v>
      </c>
      <c r="D171" s="2">
        <v>161364</v>
      </c>
      <c r="E171" s="2">
        <f t="shared" si="11"/>
        <v>48409.2</v>
      </c>
      <c r="F171" s="2">
        <f t="shared" si="12"/>
        <v>40341</v>
      </c>
      <c r="G171" s="2">
        <f t="shared" si="13"/>
        <v>8068.2000000000007</v>
      </c>
      <c r="H171" s="2">
        <v>46251.44</v>
      </c>
      <c r="I171" s="2">
        <f t="shared" si="14"/>
        <v>23125.72</v>
      </c>
      <c r="J171" s="2">
        <f xml:space="preserve"> Table1[[#This Row],[Diesel (R)]]</f>
        <v>21.11</v>
      </c>
      <c r="K171" t="str">
        <f xml:space="preserve"> Table1[[#This Row],[Diesel (R) Budget]]</f>
        <v>24.07</v>
      </c>
      <c r="L171" s="2">
        <v>21.11</v>
      </c>
      <c r="M171" t="s">
        <v>481</v>
      </c>
    </row>
    <row r="172" spans="1:13" x14ac:dyDescent="0.3">
      <c r="A172" t="s">
        <v>183</v>
      </c>
      <c r="B172" s="2">
        <v>0.24038138386895</v>
      </c>
      <c r="C172" s="2">
        <f t="shared" si="10"/>
        <v>4.8076276773790005E-2</v>
      </c>
      <c r="D172" s="2">
        <v>177459</v>
      </c>
      <c r="E172" s="2">
        <f t="shared" si="11"/>
        <v>53237.7</v>
      </c>
      <c r="F172" s="2">
        <f t="shared" si="12"/>
        <v>44364.75</v>
      </c>
      <c r="G172" s="2">
        <f t="shared" si="13"/>
        <v>8872.9500000000007</v>
      </c>
      <c r="H172" s="2">
        <v>42657.84</v>
      </c>
      <c r="I172" s="2">
        <f t="shared" si="14"/>
        <v>21328.92</v>
      </c>
      <c r="J172" s="2">
        <f xml:space="preserve"> Table1[[#This Row],[Diesel (R)]]</f>
        <v>24.18</v>
      </c>
      <c r="K172" t="str">
        <f xml:space="preserve"> Table1[[#This Row],[Diesel (R) Budget]]</f>
        <v>19.84</v>
      </c>
      <c r="L172" s="2">
        <v>24.18</v>
      </c>
      <c r="M172" t="s">
        <v>370</v>
      </c>
    </row>
    <row r="173" spans="1:13" x14ac:dyDescent="0.3">
      <c r="A173" t="s">
        <v>184</v>
      </c>
      <c r="B173" s="2">
        <v>0.29293904903733642</v>
      </c>
      <c r="C173" s="2">
        <f t="shared" si="10"/>
        <v>5.8587809807467285E-2</v>
      </c>
      <c r="D173" s="2">
        <v>169218</v>
      </c>
      <c r="E173" s="2">
        <f t="shared" si="11"/>
        <v>50765.4</v>
      </c>
      <c r="F173" s="2">
        <f t="shared" si="12"/>
        <v>42304.5</v>
      </c>
      <c r="G173" s="2">
        <f t="shared" si="13"/>
        <v>8460.9</v>
      </c>
      <c r="H173" s="2">
        <v>49570.559999999998</v>
      </c>
      <c r="I173" s="2">
        <f t="shared" si="14"/>
        <v>24785.279999999999</v>
      </c>
      <c r="J173" s="2">
        <f xml:space="preserve"> Table1[[#This Row],[Diesel (R)]]</f>
        <v>17.88</v>
      </c>
      <c r="K173" t="str">
        <f xml:space="preserve"> Table1[[#This Row],[Diesel (R) Budget]]</f>
        <v>22.63</v>
      </c>
      <c r="L173" s="2">
        <v>17.88</v>
      </c>
      <c r="M173" t="s">
        <v>482</v>
      </c>
    </row>
    <row r="174" spans="1:13" x14ac:dyDescent="0.3">
      <c r="A174" t="s">
        <v>185</v>
      </c>
      <c r="B174" s="2">
        <v>0.36766325292064939</v>
      </c>
      <c r="C174" s="2">
        <f t="shared" si="10"/>
        <v>7.3532650584129874E-2</v>
      </c>
      <c r="D174" s="2">
        <v>131820</v>
      </c>
      <c r="E174" s="2">
        <f t="shared" si="11"/>
        <v>39546</v>
      </c>
      <c r="F174" s="2">
        <f t="shared" si="12"/>
        <v>32955</v>
      </c>
      <c r="G174" s="2">
        <f t="shared" si="13"/>
        <v>6591</v>
      </c>
      <c r="H174" s="2">
        <v>48465.37</v>
      </c>
      <c r="I174" s="2">
        <f t="shared" si="14"/>
        <v>24232.685000000001</v>
      </c>
      <c r="J174" s="2">
        <f xml:space="preserve"> Table1[[#This Row],[Diesel (R)]]</f>
        <v>22.94</v>
      </c>
      <c r="K174" t="str">
        <f xml:space="preserve"> Table1[[#This Row],[Diesel (R) Budget]]</f>
        <v>21.09</v>
      </c>
      <c r="L174" s="2">
        <v>22.94</v>
      </c>
      <c r="M174" t="s">
        <v>328</v>
      </c>
    </row>
    <row r="175" spans="1:13" x14ac:dyDescent="0.3">
      <c r="A175" t="s">
        <v>186</v>
      </c>
      <c r="B175" s="2">
        <v>0.43309841442482538</v>
      </c>
      <c r="C175" s="2">
        <f t="shared" si="10"/>
        <v>8.6619682884965077E-2</v>
      </c>
      <c r="D175" s="2">
        <v>117686</v>
      </c>
      <c r="E175" s="2">
        <f t="shared" si="11"/>
        <v>35305.799999999996</v>
      </c>
      <c r="F175" s="2">
        <f t="shared" si="12"/>
        <v>29421.5</v>
      </c>
      <c r="G175" s="2">
        <f t="shared" si="13"/>
        <v>5884.3</v>
      </c>
      <c r="H175" s="2">
        <v>50969.62</v>
      </c>
      <c r="I175" s="2">
        <f t="shared" si="14"/>
        <v>25484.81</v>
      </c>
      <c r="J175" s="2">
        <f xml:space="preserve"> Table1[[#This Row],[Diesel (R)]]</f>
        <v>23.85</v>
      </c>
      <c r="K175" t="str">
        <f xml:space="preserve"> Table1[[#This Row],[Diesel (R) Budget]]</f>
        <v>23.41</v>
      </c>
      <c r="L175" s="2">
        <v>23.85</v>
      </c>
      <c r="M175" t="s">
        <v>282</v>
      </c>
    </row>
    <row r="176" spans="1:13" x14ac:dyDescent="0.3">
      <c r="A176" t="s">
        <v>187</v>
      </c>
      <c r="B176" s="2">
        <v>0.28899236456187127</v>
      </c>
      <c r="C176" s="2">
        <f t="shared" si="10"/>
        <v>5.7798472912374256E-2</v>
      </c>
      <c r="D176" s="2">
        <v>165020</v>
      </c>
      <c r="E176" s="2">
        <f t="shared" si="11"/>
        <v>49506</v>
      </c>
      <c r="F176" s="2">
        <f t="shared" si="12"/>
        <v>41255</v>
      </c>
      <c r="G176" s="2">
        <f t="shared" si="13"/>
        <v>8251</v>
      </c>
      <c r="H176" s="2">
        <v>47689.52</v>
      </c>
      <c r="I176" s="2">
        <f t="shared" si="14"/>
        <v>23844.76</v>
      </c>
      <c r="J176" s="2">
        <f xml:space="preserve"> Table1[[#This Row],[Diesel (R)]]</f>
        <v>19.63</v>
      </c>
      <c r="K176" t="str">
        <f xml:space="preserve"> Table1[[#This Row],[Diesel (R) Budget]]</f>
        <v>17.86</v>
      </c>
      <c r="L176" s="2">
        <v>19.63</v>
      </c>
      <c r="M176" t="s">
        <v>483</v>
      </c>
    </row>
    <row r="177" spans="1:13" x14ac:dyDescent="0.3">
      <c r="A177" t="s">
        <v>188</v>
      </c>
      <c r="B177" s="2">
        <v>0.26963657410523201</v>
      </c>
      <c r="C177" s="2">
        <f t="shared" si="10"/>
        <v>5.3927314821046402E-2</v>
      </c>
      <c r="D177" s="2">
        <v>148586</v>
      </c>
      <c r="E177" s="2">
        <f t="shared" si="11"/>
        <v>44575.799999999996</v>
      </c>
      <c r="F177" s="2">
        <f t="shared" si="12"/>
        <v>37146.5</v>
      </c>
      <c r="G177" s="2">
        <f t="shared" si="13"/>
        <v>7429.3</v>
      </c>
      <c r="H177" s="2">
        <v>40064.22</v>
      </c>
      <c r="I177" s="2">
        <f t="shared" si="14"/>
        <v>20032.11</v>
      </c>
      <c r="J177" s="2">
        <f xml:space="preserve"> Table1[[#This Row],[Diesel (R)]]</f>
        <v>20.28</v>
      </c>
      <c r="K177" t="str">
        <f xml:space="preserve"> Table1[[#This Row],[Diesel (R) Budget]]</f>
        <v>24.67</v>
      </c>
      <c r="L177" s="2">
        <v>20.28</v>
      </c>
      <c r="M177" t="s">
        <v>306</v>
      </c>
    </row>
    <row r="178" spans="1:13" x14ac:dyDescent="0.3">
      <c r="A178" t="s">
        <v>189</v>
      </c>
      <c r="B178" s="2">
        <v>0.3067730851929335</v>
      </c>
      <c r="C178" s="2">
        <f t="shared" si="10"/>
        <v>6.1354617038586703E-2</v>
      </c>
      <c r="D178" s="2">
        <v>137664</v>
      </c>
      <c r="E178" s="2">
        <f t="shared" si="11"/>
        <v>41299.199999999997</v>
      </c>
      <c r="F178" s="2">
        <f t="shared" si="12"/>
        <v>34416</v>
      </c>
      <c r="G178" s="2">
        <f t="shared" si="13"/>
        <v>6883.2000000000007</v>
      </c>
      <c r="H178" s="2">
        <v>42231.61</v>
      </c>
      <c r="I178" s="2">
        <f t="shared" si="14"/>
        <v>21115.805</v>
      </c>
      <c r="J178" s="2">
        <f xml:space="preserve"> Table1[[#This Row],[Diesel (R)]]</f>
        <v>18.54</v>
      </c>
      <c r="K178" t="str">
        <f xml:space="preserve"> Table1[[#This Row],[Diesel (R) Budget]]</f>
        <v>20.52</v>
      </c>
      <c r="L178" s="2">
        <v>18.54</v>
      </c>
      <c r="M178" t="s">
        <v>305</v>
      </c>
    </row>
    <row r="179" spans="1:13" x14ac:dyDescent="0.3">
      <c r="A179" t="s">
        <v>190</v>
      </c>
      <c r="B179" s="2">
        <v>0.32385780170104911</v>
      </c>
      <c r="C179" s="2">
        <f t="shared" si="10"/>
        <v>6.4771560340209824E-2</v>
      </c>
      <c r="D179" s="2">
        <v>153082</v>
      </c>
      <c r="E179" s="2">
        <f t="shared" si="11"/>
        <v>45924.6</v>
      </c>
      <c r="F179" s="2">
        <f t="shared" si="12"/>
        <v>38270.5</v>
      </c>
      <c r="G179" s="2">
        <f t="shared" si="13"/>
        <v>7654.1</v>
      </c>
      <c r="H179" s="2">
        <v>49576.800000000003</v>
      </c>
      <c r="I179" s="2">
        <f t="shared" si="14"/>
        <v>24788.400000000001</v>
      </c>
      <c r="J179" s="2">
        <f xml:space="preserve"> Table1[[#This Row],[Diesel (R)]]</f>
        <v>21.78</v>
      </c>
      <c r="K179" t="str">
        <f xml:space="preserve"> Table1[[#This Row],[Diesel (R) Budget]]</f>
        <v>19.26</v>
      </c>
      <c r="L179" s="2">
        <v>21.78</v>
      </c>
      <c r="M179" t="s">
        <v>484</v>
      </c>
    </row>
    <row r="180" spans="1:13" x14ac:dyDescent="0.3">
      <c r="A180" t="s">
        <v>191</v>
      </c>
      <c r="B180" s="2">
        <v>0.23153724389636962</v>
      </c>
      <c r="C180" s="2">
        <f t="shared" si="10"/>
        <v>4.6307448779273924E-2</v>
      </c>
      <c r="D180" s="2">
        <v>144668</v>
      </c>
      <c r="E180" s="2">
        <f t="shared" si="11"/>
        <v>43400.4</v>
      </c>
      <c r="F180" s="2">
        <f t="shared" si="12"/>
        <v>36167</v>
      </c>
      <c r="G180" s="2">
        <f t="shared" si="13"/>
        <v>7233.4000000000005</v>
      </c>
      <c r="H180" s="2">
        <v>33496.03</v>
      </c>
      <c r="I180" s="2">
        <f t="shared" si="14"/>
        <v>16748.014999999999</v>
      </c>
      <c r="J180" s="2">
        <f xml:space="preserve"> Table1[[#This Row],[Diesel (R)]]</f>
        <v>24.65</v>
      </c>
      <c r="K180" t="str">
        <f xml:space="preserve"> Table1[[#This Row],[Diesel (R) Budget]]</f>
        <v>23.76</v>
      </c>
      <c r="L180" s="2">
        <v>24.65</v>
      </c>
      <c r="M180" t="s">
        <v>291</v>
      </c>
    </row>
    <row r="181" spans="1:13" x14ac:dyDescent="0.3">
      <c r="A181" t="s">
        <v>192</v>
      </c>
      <c r="B181" s="2">
        <v>0.38676233617834993</v>
      </c>
      <c r="C181" s="2">
        <f t="shared" si="10"/>
        <v>7.7352467235669992E-2</v>
      </c>
      <c r="D181" s="2">
        <v>171528</v>
      </c>
      <c r="E181" s="2">
        <f t="shared" si="11"/>
        <v>51458.400000000001</v>
      </c>
      <c r="F181" s="2">
        <f t="shared" si="12"/>
        <v>42882</v>
      </c>
      <c r="G181" s="2">
        <f t="shared" si="13"/>
        <v>8576.4</v>
      </c>
      <c r="H181" s="2">
        <v>66340.570000000007</v>
      </c>
      <c r="I181" s="2">
        <f t="shared" si="14"/>
        <v>33170.285000000003</v>
      </c>
      <c r="J181" s="2">
        <f xml:space="preserve"> Table1[[#This Row],[Diesel (R)]]</f>
        <v>23.17</v>
      </c>
      <c r="K181" t="str">
        <f xml:space="preserve"> Table1[[#This Row],[Diesel (R) Budget]]</f>
        <v>21.28</v>
      </c>
      <c r="L181" s="2">
        <v>23.17</v>
      </c>
      <c r="M181" t="s">
        <v>485</v>
      </c>
    </row>
    <row r="182" spans="1:13" x14ac:dyDescent="0.3">
      <c r="A182" t="s">
        <v>193</v>
      </c>
      <c r="B182" s="2">
        <v>0.42386796882336369</v>
      </c>
      <c r="C182" s="2">
        <f t="shared" si="10"/>
        <v>8.477359376467275E-2</v>
      </c>
      <c r="D182" s="2">
        <v>106490</v>
      </c>
      <c r="E182" s="2">
        <f t="shared" si="11"/>
        <v>31947</v>
      </c>
      <c r="F182" s="2">
        <f t="shared" si="12"/>
        <v>26622.5</v>
      </c>
      <c r="G182" s="2">
        <f t="shared" si="13"/>
        <v>5324.5</v>
      </c>
      <c r="H182" s="2">
        <v>45137.7</v>
      </c>
      <c r="I182" s="2">
        <f t="shared" si="14"/>
        <v>22568.85</v>
      </c>
      <c r="J182" s="2">
        <f xml:space="preserve"> Table1[[#This Row],[Diesel (R)]]</f>
        <v>20.82</v>
      </c>
      <c r="K182" t="str">
        <f xml:space="preserve"> Table1[[#This Row],[Diesel (R) Budget]]</f>
        <v>18.36</v>
      </c>
      <c r="L182" s="2">
        <v>20.82</v>
      </c>
      <c r="M182" t="s">
        <v>374</v>
      </c>
    </row>
    <row r="183" spans="1:13" x14ac:dyDescent="0.3">
      <c r="A183" t="s">
        <v>194</v>
      </c>
      <c r="B183" s="2">
        <v>0.31029218931690544</v>
      </c>
      <c r="C183" s="2">
        <f t="shared" si="10"/>
        <v>6.205843786338109E-2</v>
      </c>
      <c r="D183" s="2">
        <v>161676</v>
      </c>
      <c r="E183" s="2">
        <f t="shared" si="11"/>
        <v>48502.799999999996</v>
      </c>
      <c r="F183" s="2">
        <f t="shared" si="12"/>
        <v>40419</v>
      </c>
      <c r="G183" s="2">
        <f t="shared" si="13"/>
        <v>8083.8</v>
      </c>
      <c r="H183" s="2">
        <v>50166.8</v>
      </c>
      <c r="I183" s="2">
        <f t="shared" si="14"/>
        <v>25083.4</v>
      </c>
      <c r="J183" s="2">
        <f xml:space="preserve"> Table1[[#This Row],[Diesel (R)]]</f>
        <v>22.39</v>
      </c>
      <c r="K183" t="str">
        <f xml:space="preserve"> Table1[[#This Row],[Diesel (R) Budget]]</f>
        <v>24.25</v>
      </c>
      <c r="L183" s="2">
        <v>22.39</v>
      </c>
      <c r="M183" t="s">
        <v>486</v>
      </c>
    </row>
    <row r="184" spans="1:13" x14ac:dyDescent="0.3">
      <c r="A184" t="s">
        <v>195</v>
      </c>
      <c r="B184" s="2">
        <v>0.33402885378481534</v>
      </c>
      <c r="C184" s="2">
        <f t="shared" si="10"/>
        <v>6.6805770756963076E-2</v>
      </c>
      <c r="D184" s="2">
        <v>105844</v>
      </c>
      <c r="E184" s="2">
        <f t="shared" si="11"/>
        <v>31753.199999999997</v>
      </c>
      <c r="F184" s="2">
        <f t="shared" si="12"/>
        <v>26461</v>
      </c>
      <c r="G184" s="2">
        <f t="shared" si="13"/>
        <v>5292.2000000000007</v>
      </c>
      <c r="H184" s="2">
        <v>35354.949999999997</v>
      </c>
      <c r="I184" s="2">
        <f t="shared" si="14"/>
        <v>17677.474999999999</v>
      </c>
      <c r="J184" s="2">
        <f xml:space="preserve"> Table1[[#This Row],[Diesel (R)]]</f>
        <v>19.16</v>
      </c>
      <c r="K184" t="str">
        <f xml:space="preserve"> Table1[[#This Row],[Diesel (R) Budget]]</f>
        <v>19.16</v>
      </c>
      <c r="L184" s="2">
        <v>19.16</v>
      </c>
      <c r="M184" t="s">
        <v>353</v>
      </c>
    </row>
    <row r="185" spans="1:13" x14ac:dyDescent="0.3">
      <c r="A185" t="s">
        <v>196</v>
      </c>
      <c r="B185" s="2">
        <v>0.37615274170179996</v>
      </c>
      <c r="C185" s="2">
        <f t="shared" si="10"/>
        <v>7.5230548340359998E-2</v>
      </c>
      <c r="D185" s="2">
        <v>153226</v>
      </c>
      <c r="E185" s="2">
        <f t="shared" si="11"/>
        <v>45967.799999999996</v>
      </c>
      <c r="F185" s="2">
        <f t="shared" si="12"/>
        <v>38306.5</v>
      </c>
      <c r="G185" s="2">
        <f t="shared" si="13"/>
        <v>7661.3</v>
      </c>
      <c r="H185" s="2">
        <v>57636.38</v>
      </c>
      <c r="I185" s="2">
        <f t="shared" si="14"/>
        <v>28818.19</v>
      </c>
      <c r="J185" s="2">
        <f xml:space="preserve"> Table1[[#This Row],[Diesel (R)]]</f>
        <v>18.21</v>
      </c>
      <c r="K185" t="str">
        <f xml:space="preserve"> Table1[[#This Row],[Diesel (R) Budget]]</f>
        <v>22.44</v>
      </c>
      <c r="L185" s="2">
        <v>18.21</v>
      </c>
      <c r="M185" t="s">
        <v>487</v>
      </c>
    </row>
    <row r="186" spans="1:13" x14ac:dyDescent="0.3">
      <c r="A186" t="s">
        <v>197</v>
      </c>
      <c r="B186" s="2">
        <v>0.45803622129436328</v>
      </c>
      <c r="C186" s="2">
        <f t="shared" si="10"/>
        <v>9.1607244258872664E-2</v>
      </c>
      <c r="D186" s="2">
        <v>95800</v>
      </c>
      <c r="E186" s="2">
        <f t="shared" si="11"/>
        <v>28740</v>
      </c>
      <c r="F186" s="2">
        <f t="shared" si="12"/>
        <v>23950</v>
      </c>
      <c r="G186" s="2">
        <f t="shared" si="13"/>
        <v>4790</v>
      </c>
      <c r="H186" s="2">
        <v>43879.87</v>
      </c>
      <c r="I186" s="2">
        <f t="shared" si="14"/>
        <v>21939.935000000001</v>
      </c>
      <c r="J186" s="2">
        <f xml:space="preserve"> Table1[[#This Row],[Diesel (R)]]</f>
        <v>24.73</v>
      </c>
      <c r="K186" t="str">
        <f xml:space="preserve"> Table1[[#This Row],[Diesel (R) Budget]]</f>
        <v>21.73</v>
      </c>
      <c r="L186" s="2">
        <v>24.73</v>
      </c>
      <c r="M186" t="s">
        <v>402</v>
      </c>
    </row>
    <row r="187" spans="1:13" x14ac:dyDescent="0.3">
      <c r="A187" t="s">
        <v>198</v>
      </c>
      <c r="B187" s="2">
        <v>0.45139603399433431</v>
      </c>
      <c r="C187" s="2">
        <f t="shared" si="10"/>
        <v>9.0279206798866862E-2</v>
      </c>
      <c r="D187" s="2">
        <v>70600</v>
      </c>
      <c r="E187" s="2">
        <f t="shared" si="11"/>
        <v>21180</v>
      </c>
      <c r="F187" s="2">
        <f t="shared" si="12"/>
        <v>17650</v>
      </c>
      <c r="G187" s="2">
        <f t="shared" si="13"/>
        <v>3530</v>
      </c>
      <c r="H187" s="2">
        <v>31868.560000000001</v>
      </c>
      <c r="I187" s="2">
        <f t="shared" si="14"/>
        <v>15934.28</v>
      </c>
      <c r="J187" s="2">
        <f xml:space="preserve"> Table1[[#This Row],[Diesel (R)]]</f>
        <v>23.59</v>
      </c>
      <c r="K187" t="str">
        <f xml:space="preserve"> Table1[[#This Row],[Diesel (R) Budget]]</f>
        <v>23.58</v>
      </c>
      <c r="L187" s="2">
        <v>23.59</v>
      </c>
      <c r="M187" t="s">
        <v>307</v>
      </c>
    </row>
    <row r="188" spans="1:13" x14ac:dyDescent="0.3">
      <c r="A188" t="s">
        <v>199</v>
      </c>
      <c r="B188" s="2">
        <v>0.53734024939503755</v>
      </c>
      <c r="C188" s="2">
        <f t="shared" si="10"/>
        <v>0.10746804987900752</v>
      </c>
      <c r="D188" s="2">
        <v>86369</v>
      </c>
      <c r="E188" s="2">
        <f t="shared" si="11"/>
        <v>25910.7</v>
      </c>
      <c r="F188" s="2">
        <f t="shared" si="12"/>
        <v>21592.25</v>
      </c>
      <c r="G188" s="2">
        <f t="shared" si="13"/>
        <v>4318.45</v>
      </c>
      <c r="H188" s="2">
        <v>46409.54</v>
      </c>
      <c r="I188" s="2">
        <f t="shared" si="14"/>
        <v>23204.77</v>
      </c>
      <c r="J188" s="2">
        <f xml:space="preserve"> Table1[[#This Row],[Diesel (R)]]</f>
        <v>21.36</v>
      </c>
      <c r="K188" t="str">
        <f xml:space="preserve"> Table1[[#This Row],[Diesel (R) Budget]]</f>
        <v>17.75</v>
      </c>
      <c r="L188" s="2">
        <v>21.36</v>
      </c>
      <c r="M188" t="s">
        <v>488</v>
      </c>
    </row>
    <row r="189" spans="1:13" x14ac:dyDescent="0.3">
      <c r="A189" t="s">
        <v>200</v>
      </c>
      <c r="B189" s="2">
        <v>0.27555006580508751</v>
      </c>
      <c r="C189" s="2">
        <f t="shared" si="10"/>
        <v>5.5110013161017504E-2</v>
      </c>
      <c r="D189" s="2">
        <v>139047</v>
      </c>
      <c r="E189" s="2">
        <f t="shared" si="11"/>
        <v>41714.1</v>
      </c>
      <c r="F189" s="2">
        <f t="shared" si="12"/>
        <v>34761.75</v>
      </c>
      <c r="G189" s="2">
        <f t="shared" si="13"/>
        <v>6952.35</v>
      </c>
      <c r="H189" s="2">
        <v>38314.410000000003</v>
      </c>
      <c r="I189" s="2">
        <f t="shared" si="14"/>
        <v>19157.205000000002</v>
      </c>
      <c r="J189" s="2">
        <f xml:space="preserve"> Table1[[#This Row],[Diesel (R)]]</f>
        <v>22.53</v>
      </c>
      <c r="K189" t="str">
        <f xml:space="preserve"> Table1[[#This Row],[Diesel (R) Budget]]</f>
        <v>24.59</v>
      </c>
      <c r="L189" s="2">
        <v>22.53</v>
      </c>
      <c r="M189" t="s">
        <v>489</v>
      </c>
    </row>
    <row r="190" spans="1:13" x14ac:dyDescent="0.3">
      <c r="A190" t="s">
        <v>201</v>
      </c>
      <c r="B190" s="2">
        <v>0.31959768227456131</v>
      </c>
      <c r="C190" s="2">
        <f t="shared" si="10"/>
        <v>6.391953645491226E-2</v>
      </c>
      <c r="D190" s="2">
        <v>170512</v>
      </c>
      <c r="E190" s="2">
        <f t="shared" si="11"/>
        <v>51153.599999999999</v>
      </c>
      <c r="F190" s="2">
        <f t="shared" si="12"/>
        <v>42628</v>
      </c>
      <c r="G190" s="2">
        <f t="shared" si="13"/>
        <v>8525.6</v>
      </c>
      <c r="H190" s="2">
        <v>54495.24</v>
      </c>
      <c r="I190" s="2">
        <f t="shared" si="14"/>
        <v>27247.62</v>
      </c>
      <c r="J190" s="2">
        <f xml:space="preserve"> Table1[[#This Row],[Diesel (R)]]</f>
        <v>20.13</v>
      </c>
      <c r="K190" t="str">
        <f xml:space="preserve"> Table1[[#This Row],[Diesel (R) Budget]]</f>
        <v>20.83</v>
      </c>
      <c r="L190" s="2">
        <v>20.13</v>
      </c>
      <c r="M190" t="s">
        <v>490</v>
      </c>
    </row>
    <row r="191" spans="1:13" x14ac:dyDescent="0.3">
      <c r="A191" t="s">
        <v>202</v>
      </c>
      <c r="B191" s="2">
        <v>1.6348603351955309</v>
      </c>
      <c r="C191" s="2">
        <f t="shared" si="10"/>
        <v>0.3269720670391062</v>
      </c>
      <c r="D191" s="2">
        <v>895</v>
      </c>
      <c r="E191" s="2">
        <f t="shared" si="11"/>
        <v>268.5</v>
      </c>
      <c r="F191" s="2">
        <f t="shared" si="12"/>
        <v>223.75</v>
      </c>
      <c r="G191" s="2">
        <f t="shared" si="13"/>
        <v>44.75</v>
      </c>
      <c r="H191" s="2">
        <v>1463.2</v>
      </c>
      <c r="I191" s="2">
        <f t="shared" si="14"/>
        <v>731.6</v>
      </c>
      <c r="J191" s="2">
        <f xml:space="preserve"> Table1[[#This Row],[Diesel (R)]]</f>
        <v>18.72</v>
      </c>
      <c r="K191" t="str">
        <f xml:space="preserve"> Table1[[#This Row],[Diesel (R) Budget]]</f>
        <v>19.57</v>
      </c>
      <c r="L191" s="2">
        <v>18.72</v>
      </c>
      <c r="M191" t="s">
        <v>413</v>
      </c>
    </row>
    <row r="192" spans="1:13" x14ac:dyDescent="0.3">
      <c r="A192" t="s">
        <v>203</v>
      </c>
      <c r="B192" s="2">
        <v>0.25766393213125771</v>
      </c>
      <c r="C192" s="2">
        <f t="shared" si="10"/>
        <v>5.1532786426251545E-2</v>
      </c>
      <c r="D192" s="2">
        <v>142864</v>
      </c>
      <c r="E192" s="2">
        <f t="shared" si="11"/>
        <v>42859.199999999997</v>
      </c>
      <c r="F192" s="2">
        <f t="shared" si="12"/>
        <v>35716</v>
      </c>
      <c r="G192" s="2">
        <f t="shared" si="13"/>
        <v>7143.2000000000007</v>
      </c>
      <c r="H192" s="2">
        <v>36810.9</v>
      </c>
      <c r="I192" s="2">
        <f t="shared" si="14"/>
        <v>18405.45</v>
      </c>
      <c r="J192" s="2">
        <f xml:space="preserve"> Table1[[#This Row],[Diesel (R)]]</f>
        <v>23.32</v>
      </c>
      <c r="K192" t="str">
        <f xml:space="preserve"> Table1[[#This Row],[Diesel (R) Budget]]</f>
        <v>23.14</v>
      </c>
      <c r="L192" s="2">
        <v>23.32</v>
      </c>
      <c r="M192" t="s">
        <v>491</v>
      </c>
    </row>
    <row r="193" spans="1:13" x14ac:dyDescent="0.3">
      <c r="A193" t="s">
        <v>204</v>
      </c>
      <c r="B193" s="2">
        <v>0.32547426902956322</v>
      </c>
      <c r="C193" s="2">
        <f t="shared" si="10"/>
        <v>6.509485380591265E-2</v>
      </c>
      <c r="D193" s="2">
        <v>147954</v>
      </c>
      <c r="E193" s="2">
        <f t="shared" si="11"/>
        <v>44386.2</v>
      </c>
      <c r="F193" s="2">
        <f t="shared" si="12"/>
        <v>36988.5</v>
      </c>
      <c r="G193" s="2">
        <f t="shared" si="13"/>
        <v>7397.7000000000007</v>
      </c>
      <c r="H193" s="2">
        <v>48155.22</v>
      </c>
      <c r="I193" s="2">
        <f t="shared" si="14"/>
        <v>24077.61</v>
      </c>
      <c r="J193" s="2">
        <f xml:space="preserve"> Table1[[#This Row],[Diesel (R)]]</f>
        <v>24.09</v>
      </c>
      <c r="K193" t="str">
        <f xml:space="preserve"> Table1[[#This Row],[Diesel (R) Budget]]</f>
        <v>21.47</v>
      </c>
      <c r="L193" s="2">
        <v>24.09</v>
      </c>
      <c r="M193" t="s">
        <v>415</v>
      </c>
    </row>
    <row r="194" spans="1:13" x14ac:dyDescent="0.3">
      <c r="A194" t="s">
        <v>205</v>
      </c>
      <c r="B194" s="2">
        <v>0.17028412616508057</v>
      </c>
      <c r="C194" s="2">
        <f t="shared" ref="C194:C257" si="15">B194*0.2</f>
        <v>3.4056825233016112E-2</v>
      </c>
      <c r="D194" s="2">
        <v>153101</v>
      </c>
      <c r="E194" s="2">
        <f t="shared" ref="E194:E257" si="16">D194*0.3</f>
        <v>45930.299999999996</v>
      </c>
      <c r="F194" s="2">
        <f t="shared" ref="F194:F259" si="17">D194/4</f>
        <v>38275.25</v>
      </c>
      <c r="G194" s="2">
        <f t="shared" ref="G194:G257" si="18">F194*0.2</f>
        <v>7655.05</v>
      </c>
      <c r="H194" s="2">
        <v>26070.67</v>
      </c>
      <c r="I194" s="2">
        <f t="shared" ref="I194:I257" si="19">H194*0.5</f>
        <v>13035.334999999999</v>
      </c>
      <c r="J194" s="2">
        <f xml:space="preserve"> Table1[[#This Row],[Diesel (R)]]</f>
        <v>21.46</v>
      </c>
      <c r="K194" t="str">
        <f xml:space="preserve"> Table1[[#This Row],[Diesel (R) Budget]]</f>
        <v>18.91</v>
      </c>
      <c r="L194" s="2">
        <v>21.46</v>
      </c>
      <c r="M194" t="s">
        <v>323</v>
      </c>
    </row>
    <row r="195" spans="1:13" x14ac:dyDescent="0.3">
      <c r="A195" t="s">
        <v>206</v>
      </c>
      <c r="B195" s="2">
        <v>0.20895191739071101</v>
      </c>
      <c r="C195" s="2">
        <f t="shared" si="15"/>
        <v>4.1790383478142207E-2</v>
      </c>
      <c r="D195" s="2">
        <v>131898</v>
      </c>
      <c r="E195" s="2">
        <f t="shared" si="16"/>
        <v>39569.4</v>
      </c>
      <c r="F195" s="2">
        <f t="shared" si="17"/>
        <v>32974.5</v>
      </c>
      <c r="G195" s="2">
        <f t="shared" si="18"/>
        <v>6594.9000000000005</v>
      </c>
      <c r="H195" s="2">
        <v>27560.34</v>
      </c>
      <c r="I195" s="2">
        <f t="shared" si="19"/>
        <v>13780.17</v>
      </c>
      <c r="J195" s="2">
        <f xml:space="preserve"> Table1[[#This Row],[Diesel (R)]]</f>
        <v>19.73</v>
      </c>
      <c r="K195" t="str">
        <f xml:space="preserve"> Table1[[#This Row],[Diesel (R) Budget]]</f>
        <v>24.22</v>
      </c>
      <c r="L195" s="2">
        <v>19.73</v>
      </c>
      <c r="M195" t="s">
        <v>492</v>
      </c>
    </row>
    <row r="196" spans="1:13" x14ac:dyDescent="0.3">
      <c r="A196" t="s">
        <v>207</v>
      </c>
      <c r="B196" s="2">
        <v>0.34075680488425336</v>
      </c>
      <c r="C196" s="2">
        <f t="shared" si="15"/>
        <v>6.8151360976850678E-2</v>
      </c>
      <c r="D196" s="2">
        <v>110068</v>
      </c>
      <c r="E196" s="2">
        <f t="shared" si="16"/>
        <v>33020.400000000001</v>
      </c>
      <c r="F196" s="2">
        <f t="shared" si="17"/>
        <v>27517</v>
      </c>
      <c r="G196" s="2">
        <f t="shared" si="18"/>
        <v>5503.4000000000005</v>
      </c>
      <c r="H196" s="2">
        <v>37506.42</v>
      </c>
      <c r="I196" s="2">
        <f t="shared" si="19"/>
        <v>18753.21</v>
      </c>
      <c r="J196" s="2">
        <f xml:space="preserve"> Table1[[#This Row],[Diesel (R)]]</f>
        <v>18.05</v>
      </c>
      <c r="K196" t="str">
        <f xml:space="preserve"> Table1[[#This Row],[Diesel (R) Budget]]</f>
        <v>19.64</v>
      </c>
      <c r="L196" s="2">
        <v>18.05</v>
      </c>
      <c r="M196" t="s">
        <v>493</v>
      </c>
    </row>
    <row r="197" spans="1:13" x14ac:dyDescent="0.3">
      <c r="A197" t="s">
        <v>208</v>
      </c>
      <c r="B197" s="2">
        <v>0.29924682481269699</v>
      </c>
      <c r="C197" s="2">
        <f t="shared" si="15"/>
        <v>5.9849364962539398E-2</v>
      </c>
      <c r="D197" s="2">
        <v>52989</v>
      </c>
      <c r="E197" s="2">
        <f t="shared" si="16"/>
        <v>15896.699999999999</v>
      </c>
      <c r="F197" s="2">
        <f t="shared" si="17"/>
        <v>13247.25</v>
      </c>
      <c r="G197" s="2">
        <f t="shared" si="18"/>
        <v>2649.4500000000003</v>
      </c>
      <c r="H197" s="2">
        <v>15856.79</v>
      </c>
      <c r="I197" s="2">
        <f t="shared" si="19"/>
        <v>7928.3950000000004</v>
      </c>
      <c r="J197" s="2">
        <f xml:space="preserve"> Table1[[#This Row],[Diesel (R)]]</f>
        <v>22.41</v>
      </c>
      <c r="K197" t="str">
        <f xml:space="preserve"> Table1[[#This Row],[Diesel (R) Budget]]</f>
        <v>22.95</v>
      </c>
      <c r="L197" s="2">
        <v>22.41</v>
      </c>
      <c r="M197" t="s">
        <v>276</v>
      </c>
    </row>
    <row r="198" spans="1:13" x14ac:dyDescent="0.3">
      <c r="A198" t="s">
        <v>209</v>
      </c>
      <c r="B198" s="2">
        <v>0.35564700694521001</v>
      </c>
      <c r="C198" s="2">
        <f t="shared" si="15"/>
        <v>7.1129401389042002E-2</v>
      </c>
      <c r="D198" s="2">
        <v>136065</v>
      </c>
      <c r="E198" s="2">
        <f t="shared" si="16"/>
        <v>40819.5</v>
      </c>
      <c r="F198" s="2">
        <f t="shared" si="17"/>
        <v>34016.25</v>
      </c>
      <c r="G198" s="2">
        <f t="shared" si="18"/>
        <v>6803.25</v>
      </c>
      <c r="H198" s="2">
        <v>48391.11</v>
      </c>
      <c r="I198" s="2">
        <f t="shared" si="19"/>
        <v>24195.555</v>
      </c>
      <c r="J198" s="2">
        <f xml:space="preserve"> Table1[[#This Row],[Diesel (R)]]</f>
        <v>24.48</v>
      </c>
      <c r="K198" t="str">
        <f xml:space="preserve"> Table1[[#This Row],[Diesel (R) Budget]]</f>
        <v>21.31</v>
      </c>
      <c r="L198" s="2">
        <v>24.48</v>
      </c>
      <c r="M198" t="s">
        <v>494</v>
      </c>
    </row>
    <row r="199" spans="1:13" x14ac:dyDescent="0.3">
      <c r="A199" t="s">
        <v>210</v>
      </c>
      <c r="B199" s="2">
        <v>0.28800443458980046</v>
      </c>
      <c r="C199" s="2">
        <f t="shared" si="15"/>
        <v>5.7600886917960094E-2</v>
      </c>
      <c r="D199" s="2">
        <v>134398</v>
      </c>
      <c r="E199" s="2">
        <f t="shared" si="16"/>
        <v>40319.4</v>
      </c>
      <c r="F199" s="2">
        <f t="shared" si="17"/>
        <v>33599.5</v>
      </c>
      <c r="G199" s="2">
        <f t="shared" si="18"/>
        <v>6719.9000000000005</v>
      </c>
      <c r="H199" s="2">
        <v>38707.22</v>
      </c>
      <c r="I199" s="2">
        <f t="shared" si="19"/>
        <v>19353.61</v>
      </c>
      <c r="J199" s="2">
        <f xml:space="preserve"> Table1[[#This Row],[Diesel (R)]]</f>
        <v>19.91</v>
      </c>
      <c r="K199" t="str">
        <f xml:space="preserve"> Table1[[#This Row],[Diesel (R) Budget]]</f>
        <v>23.46</v>
      </c>
      <c r="L199" s="2">
        <v>19.91</v>
      </c>
      <c r="M199" t="s">
        <v>495</v>
      </c>
    </row>
    <row r="200" spans="1:13" x14ac:dyDescent="0.3">
      <c r="A200" t="s">
        <v>211</v>
      </c>
      <c r="B200" s="2">
        <v>0.28356846448605283</v>
      </c>
      <c r="C200" s="2">
        <f t="shared" si="15"/>
        <v>5.6713692897210566E-2</v>
      </c>
      <c r="D200" s="2">
        <v>169891</v>
      </c>
      <c r="E200" s="2">
        <f t="shared" si="16"/>
        <v>50967.299999999996</v>
      </c>
      <c r="F200" s="2">
        <f t="shared" si="17"/>
        <v>42472.75</v>
      </c>
      <c r="G200" s="2">
        <f t="shared" si="18"/>
        <v>8494.5500000000011</v>
      </c>
      <c r="H200" s="2">
        <v>48175.73</v>
      </c>
      <c r="I200" s="2">
        <f t="shared" si="19"/>
        <v>24087.865000000002</v>
      </c>
      <c r="J200" s="2">
        <f xml:space="preserve"> Table1[[#This Row],[Diesel (R)]]</f>
        <v>20.66</v>
      </c>
      <c r="K200" t="str">
        <f xml:space="preserve"> Table1[[#This Row],[Diesel (R) Budget]]</f>
        <v>17.98</v>
      </c>
      <c r="L200" s="2">
        <v>20.66</v>
      </c>
      <c r="M200" t="s">
        <v>496</v>
      </c>
    </row>
    <row r="201" spans="1:13" x14ac:dyDescent="0.3">
      <c r="A201" t="s">
        <v>212</v>
      </c>
      <c r="B201" s="2">
        <v>0.30932783271591713</v>
      </c>
      <c r="C201" s="2">
        <f t="shared" si="15"/>
        <v>6.1865566543183426E-2</v>
      </c>
      <c r="D201" s="2">
        <v>130652</v>
      </c>
      <c r="E201" s="2">
        <f t="shared" si="16"/>
        <v>39195.599999999999</v>
      </c>
      <c r="F201" s="2">
        <f t="shared" si="17"/>
        <v>32663</v>
      </c>
      <c r="G201" s="2">
        <f t="shared" si="18"/>
        <v>6532.6</v>
      </c>
      <c r="H201" s="2">
        <v>40414.300000000003</v>
      </c>
      <c r="I201" s="2">
        <f t="shared" si="19"/>
        <v>20207.150000000001</v>
      </c>
      <c r="J201" s="2">
        <f xml:space="preserve"> Table1[[#This Row],[Diesel (R)]]</f>
        <v>21.84</v>
      </c>
      <c r="K201" t="str">
        <f xml:space="preserve"> Table1[[#This Row],[Diesel (R) Budget]]</f>
        <v>24.34</v>
      </c>
      <c r="L201" s="2">
        <v>21.84</v>
      </c>
      <c r="M201" t="s">
        <v>382</v>
      </c>
    </row>
    <row r="202" spans="1:13" x14ac:dyDescent="0.3">
      <c r="A202" t="s">
        <v>213</v>
      </c>
      <c r="B202" s="2" t="e">
        <v>#DIV/0!</v>
      </c>
      <c r="C202" s="2" t="e">
        <f t="shared" si="15"/>
        <v>#DIV/0!</v>
      </c>
      <c r="D202" s="2">
        <v>0</v>
      </c>
      <c r="E202" s="2">
        <f t="shared" si="16"/>
        <v>0</v>
      </c>
      <c r="F202" s="2">
        <f t="shared" si="17"/>
        <v>0</v>
      </c>
      <c r="G202" s="2">
        <f t="shared" si="18"/>
        <v>0</v>
      </c>
      <c r="H202" s="2">
        <v>669.3</v>
      </c>
      <c r="I202" s="2">
        <f t="shared" si="19"/>
        <v>334.65</v>
      </c>
      <c r="J202" s="2">
        <f xml:space="preserve"> Table1[[#This Row],[Diesel (R)]]</f>
        <v>23.07</v>
      </c>
      <c r="K202" t="str">
        <f xml:space="preserve"> Table1[[#This Row],[Diesel (R) Budget]]</f>
        <v>20.11</v>
      </c>
      <c r="L202" s="2">
        <v>23.07</v>
      </c>
      <c r="M202" t="s">
        <v>497</v>
      </c>
    </row>
    <row r="203" spans="1:13" x14ac:dyDescent="0.3">
      <c r="A203" t="s">
        <v>214</v>
      </c>
      <c r="B203" s="2">
        <v>0.22635162153039232</v>
      </c>
      <c r="C203" s="2">
        <f t="shared" si="15"/>
        <v>4.5270324306078469E-2</v>
      </c>
      <c r="D203" s="2">
        <v>154052</v>
      </c>
      <c r="E203" s="2">
        <f t="shared" si="16"/>
        <v>46215.6</v>
      </c>
      <c r="F203" s="2">
        <f t="shared" si="17"/>
        <v>38513</v>
      </c>
      <c r="G203" s="2">
        <f t="shared" si="18"/>
        <v>7702.6</v>
      </c>
      <c r="H203" s="2">
        <v>34869.919999999998</v>
      </c>
      <c r="I203" s="2">
        <f t="shared" si="19"/>
        <v>17434.96</v>
      </c>
      <c r="J203" s="2">
        <f xml:space="preserve"> Table1[[#This Row],[Diesel (R)]]</f>
        <v>24.61</v>
      </c>
      <c r="K203" t="str">
        <f xml:space="preserve"> Table1[[#This Row],[Diesel (R) Budget]]</f>
        <v>19.23</v>
      </c>
      <c r="L203" s="2">
        <v>24.61</v>
      </c>
      <c r="M203" t="s">
        <v>498</v>
      </c>
    </row>
    <row r="204" spans="1:13" x14ac:dyDescent="0.3">
      <c r="A204" t="s">
        <v>215</v>
      </c>
      <c r="B204" s="2">
        <v>0.35444800538029192</v>
      </c>
      <c r="C204" s="2">
        <f t="shared" si="15"/>
        <v>7.0889601076058392E-2</v>
      </c>
      <c r="D204" s="2">
        <v>145717</v>
      </c>
      <c r="E204" s="2">
        <f t="shared" si="16"/>
        <v>43715.1</v>
      </c>
      <c r="F204" s="2">
        <f t="shared" si="17"/>
        <v>36429.25</v>
      </c>
      <c r="G204" s="2">
        <f t="shared" si="18"/>
        <v>7285.85</v>
      </c>
      <c r="H204" s="2">
        <v>51649.1</v>
      </c>
      <c r="I204" s="2">
        <f t="shared" si="19"/>
        <v>25824.55</v>
      </c>
      <c r="J204" s="2">
        <f xml:space="preserve"> Table1[[#This Row],[Diesel (R)]]</f>
        <v>22.16</v>
      </c>
      <c r="K204" t="str">
        <f xml:space="preserve"> Table1[[#This Row],[Diesel (R) Budget]]</f>
        <v>23.79</v>
      </c>
      <c r="L204" s="2">
        <v>22.16</v>
      </c>
      <c r="M204" t="s">
        <v>499</v>
      </c>
    </row>
    <row r="205" spans="1:13" x14ac:dyDescent="0.3">
      <c r="A205" t="s">
        <v>216</v>
      </c>
      <c r="B205" s="2">
        <v>0.24678983446248243</v>
      </c>
      <c r="C205" s="2">
        <f t="shared" si="15"/>
        <v>4.935796689249649E-2</v>
      </c>
      <c r="D205" s="2">
        <v>125168</v>
      </c>
      <c r="E205" s="2">
        <f t="shared" si="16"/>
        <v>37550.400000000001</v>
      </c>
      <c r="F205" s="2">
        <f t="shared" si="17"/>
        <v>31292</v>
      </c>
      <c r="G205" s="2">
        <f t="shared" si="18"/>
        <v>6258.4000000000005</v>
      </c>
      <c r="H205" s="2">
        <v>30890.19</v>
      </c>
      <c r="I205" s="2">
        <f t="shared" si="19"/>
        <v>15445.094999999999</v>
      </c>
      <c r="J205" s="2">
        <f xml:space="preserve"> Table1[[#This Row],[Diesel (R)]]</f>
        <v>20.32</v>
      </c>
      <c r="K205" t="str">
        <f xml:space="preserve"> Table1[[#This Row],[Diesel (R) Budget]]</f>
        <v>21.92</v>
      </c>
      <c r="L205" s="2">
        <v>20.32</v>
      </c>
      <c r="M205" t="s">
        <v>290</v>
      </c>
    </row>
    <row r="206" spans="1:13" x14ac:dyDescent="0.3">
      <c r="A206" t="s">
        <v>217</v>
      </c>
      <c r="B206" s="2">
        <v>0.34281784570869778</v>
      </c>
      <c r="C206" s="2">
        <f t="shared" si="15"/>
        <v>6.8563569141739555E-2</v>
      </c>
      <c r="D206" s="2">
        <v>149302</v>
      </c>
      <c r="E206" s="2">
        <f t="shared" si="16"/>
        <v>44790.6</v>
      </c>
      <c r="F206" s="2">
        <f t="shared" si="17"/>
        <v>37325.5</v>
      </c>
      <c r="G206" s="2">
        <f t="shared" si="18"/>
        <v>7465.1</v>
      </c>
      <c r="H206" s="2">
        <v>51183.39</v>
      </c>
      <c r="I206" s="2">
        <f t="shared" si="19"/>
        <v>25591.695</v>
      </c>
      <c r="J206" s="2">
        <f xml:space="preserve"> Table1[[#This Row],[Diesel (R)]]</f>
        <v>19.48</v>
      </c>
      <c r="K206" t="str">
        <f xml:space="preserve"> Table1[[#This Row],[Diesel (R) Budget]]</f>
        <v>18.62</v>
      </c>
      <c r="L206" s="2">
        <v>19.48</v>
      </c>
      <c r="M206" t="s">
        <v>500</v>
      </c>
    </row>
    <row r="207" spans="1:13" x14ac:dyDescent="0.3">
      <c r="A207" t="s">
        <v>218</v>
      </c>
      <c r="B207" s="2">
        <v>0.35042546172493938</v>
      </c>
      <c r="C207" s="2">
        <f t="shared" si="15"/>
        <v>7.0085092344987873E-2</v>
      </c>
      <c r="D207" s="2">
        <v>200065</v>
      </c>
      <c r="E207" s="2">
        <f t="shared" si="16"/>
        <v>60019.5</v>
      </c>
      <c r="F207" s="2">
        <f t="shared" si="17"/>
        <v>50016.25</v>
      </c>
      <c r="G207" s="2">
        <f t="shared" si="18"/>
        <v>10003.25</v>
      </c>
      <c r="H207" s="2">
        <v>70107.87</v>
      </c>
      <c r="I207" s="2">
        <f t="shared" si="19"/>
        <v>35053.934999999998</v>
      </c>
      <c r="J207" s="2">
        <f xml:space="preserve"> Table1[[#This Row],[Diesel (R)]]</f>
        <v>23.68</v>
      </c>
      <c r="K207" t="str">
        <f xml:space="preserve"> Table1[[#This Row],[Diesel (R) Budget]]</f>
        <v>24.18</v>
      </c>
      <c r="L207" s="2">
        <v>23.68</v>
      </c>
      <c r="M207" t="s">
        <v>347</v>
      </c>
    </row>
    <row r="208" spans="1:13" x14ac:dyDescent="0.3">
      <c r="A208" t="s">
        <v>219</v>
      </c>
      <c r="B208" s="2">
        <v>0.34722362201128121</v>
      </c>
      <c r="C208" s="2">
        <f t="shared" si="15"/>
        <v>6.9444724402256242E-2</v>
      </c>
      <c r="D208" s="2">
        <v>131369</v>
      </c>
      <c r="E208" s="2">
        <f t="shared" si="16"/>
        <v>39410.699999999997</v>
      </c>
      <c r="F208" s="2">
        <f t="shared" si="17"/>
        <v>32842.25</v>
      </c>
      <c r="G208" s="2">
        <f t="shared" si="18"/>
        <v>6568.4500000000007</v>
      </c>
      <c r="H208" s="2">
        <v>45614.42</v>
      </c>
      <c r="I208" s="2">
        <f t="shared" si="19"/>
        <v>22807.21</v>
      </c>
      <c r="J208" s="2">
        <f xml:space="preserve"> Table1[[#This Row],[Diesel (R)]]</f>
        <v>21.58</v>
      </c>
      <c r="K208" t="str">
        <f xml:space="preserve"> Table1[[#This Row],[Diesel (R) Budget]]</f>
        <v>19.43</v>
      </c>
      <c r="L208" s="2">
        <v>21.58</v>
      </c>
      <c r="M208" t="s">
        <v>501</v>
      </c>
    </row>
    <row r="209" spans="1:13" x14ac:dyDescent="0.3">
      <c r="A209" t="s">
        <v>220</v>
      </c>
      <c r="B209" s="2">
        <v>0.45356340027669517</v>
      </c>
      <c r="C209" s="2">
        <f t="shared" si="15"/>
        <v>9.0712680055339043E-2</v>
      </c>
      <c r="D209" s="2">
        <v>110591</v>
      </c>
      <c r="E209" s="2">
        <f t="shared" si="16"/>
        <v>33177.299999999996</v>
      </c>
      <c r="F209" s="2">
        <f t="shared" si="17"/>
        <v>27647.75</v>
      </c>
      <c r="G209" s="2">
        <f t="shared" si="18"/>
        <v>5529.55</v>
      </c>
      <c r="H209" s="2">
        <v>50160.03</v>
      </c>
      <c r="I209" s="2">
        <f t="shared" si="19"/>
        <v>25080.014999999999</v>
      </c>
      <c r="J209" s="2">
        <f xml:space="preserve"> Table1[[#This Row],[Diesel (R)]]</f>
        <v>24.29</v>
      </c>
      <c r="K209" t="str">
        <f xml:space="preserve"> Table1[[#This Row],[Diesel (R) Budget]]</f>
        <v>22.52</v>
      </c>
      <c r="L209" s="2">
        <v>24.29</v>
      </c>
      <c r="M209" t="s">
        <v>502</v>
      </c>
    </row>
    <row r="210" spans="1:13" x14ac:dyDescent="0.3">
      <c r="A210" t="s">
        <v>221</v>
      </c>
      <c r="B210" s="2">
        <v>0.36964787249803116</v>
      </c>
      <c r="C210" s="2">
        <f t="shared" si="15"/>
        <v>7.3929574499606229E-2</v>
      </c>
      <c r="D210" s="2">
        <v>128249</v>
      </c>
      <c r="E210" s="2">
        <f t="shared" si="16"/>
        <v>38474.699999999997</v>
      </c>
      <c r="F210" s="2">
        <f t="shared" si="17"/>
        <v>32062.25</v>
      </c>
      <c r="G210" s="2">
        <f t="shared" si="18"/>
        <v>6412.4500000000007</v>
      </c>
      <c r="H210" s="2">
        <v>47406.97</v>
      </c>
      <c r="I210" s="2">
        <f t="shared" si="19"/>
        <v>23703.485000000001</v>
      </c>
      <c r="J210" s="2">
        <f xml:space="preserve"> Table1[[#This Row],[Diesel (R)]]</f>
        <v>20.76</v>
      </c>
      <c r="K210" t="str">
        <f xml:space="preserve"> Table1[[#This Row],[Diesel (R) Budget]]</f>
        <v>21.67</v>
      </c>
      <c r="L210" s="2">
        <v>20.76</v>
      </c>
      <c r="M210" t="s">
        <v>503</v>
      </c>
    </row>
    <row r="211" spans="1:13" x14ac:dyDescent="0.3">
      <c r="A211" t="s">
        <v>222</v>
      </c>
      <c r="B211" s="2">
        <v>0.30467101655447554</v>
      </c>
      <c r="C211" s="2">
        <f t="shared" si="15"/>
        <v>6.0934203310895108E-2</v>
      </c>
      <c r="D211" s="2">
        <v>125827</v>
      </c>
      <c r="E211" s="2">
        <f t="shared" si="16"/>
        <v>37748.1</v>
      </c>
      <c r="F211" s="2">
        <f t="shared" si="17"/>
        <v>31456.75</v>
      </c>
      <c r="G211" s="2">
        <f t="shared" si="18"/>
        <v>6291.35</v>
      </c>
      <c r="H211" s="2">
        <v>38335.839999999997</v>
      </c>
      <c r="I211" s="2">
        <f t="shared" si="19"/>
        <v>19167.919999999998</v>
      </c>
      <c r="J211" s="2">
        <f xml:space="preserve"> Table1[[#This Row],[Diesel (R)]]</f>
        <v>18.87</v>
      </c>
      <c r="K211" t="str">
        <f xml:space="preserve"> Table1[[#This Row],[Diesel (R) Budget]]</f>
        <v>23.12</v>
      </c>
      <c r="L211" s="2">
        <v>18.87</v>
      </c>
      <c r="M211" t="s">
        <v>327</v>
      </c>
    </row>
    <row r="212" spans="1:13" x14ac:dyDescent="0.3">
      <c r="A212" t="s">
        <v>223</v>
      </c>
      <c r="B212" s="2">
        <v>0.3600569639584606</v>
      </c>
      <c r="C212" s="2">
        <f t="shared" si="15"/>
        <v>7.2011392791692122E-2</v>
      </c>
      <c r="D212" s="2">
        <v>65480</v>
      </c>
      <c r="E212" s="2">
        <f t="shared" si="16"/>
        <v>19644</v>
      </c>
      <c r="F212" s="2">
        <f t="shared" si="17"/>
        <v>16370</v>
      </c>
      <c r="G212" s="2">
        <f t="shared" si="18"/>
        <v>3274</v>
      </c>
      <c r="H212" s="2">
        <v>23576.53</v>
      </c>
      <c r="I212" s="2">
        <f t="shared" si="19"/>
        <v>11788.264999999999</v>
      </c>
      <c r="J212" s="2">
        <f xml:space="preserve"> Table1[[#This Row],[Diesel (R)]]</f>
        <v>21.93</v>
      </c>
      <c r="K212" t="str">
        <f xml:space="preserve"> Table1[[#This Row],[Diesel (R) Budget]]</f>
        <v>17.73</v>
      </c>
      <c r="L212" s="2">
        <v>21.93</v>
      </c>
      <c r="M212" t="s">
        <v>504</v>
      </c>
    </row>
    <row r="213" spans="1:13" x14ac:dyDescent="0.3">
      <c r="A213" t="s">
        <v>224</v>
      </c>
      <c r="B213" s="2">
        <v>0.41062035855771167</v>
      </c>
      <c r="C213" s="2">
        <f t="shared" si="15"/>
        <v>8.2124071711542346E-2</v>
      </c>
      <c r="D213" s="2">
        <v>148930</v>
      </c>
      <c r="E213" s="2">
        <f t="shared" si="16"/>
        <v>44679</v>
      </c>
      <c r="F213" s="2">
        <f t="shared" si="17"/>
        <v>37232.5</v>
      </c>
      <c r="G213" s="2">
        <f t="shared" si="18"/>
        <v>7446.5</v>
      </c>
      <c r="H213" s="2">
        <v>61153.69</v>
      </c>
      <c r="I213" s="2">
        <f t="shared" si="19"/>
        <v>30576.845000000001</v>
      </c>
      <c r="J213" s="2">
        <f xml:space="preserve"> Table1[[#This Row],[Diesel (R)]]</f>
        <v>23.43</v>
      </c>
      <c r="K213" t="str">
        <f xml:space="preserve"> Table1[[#This Row],[Diesel (R) Budget]]</f>
        <v>24.53</v>
      </c>
      <c r="L213" s="2">
        <v>23.43</v>
      </c>
      <c r="M213" t="s">
        <v>505</v>
      </c>
    </row>
    <row r="214" spans="1:13" x14ac:dyDescent="0.3">
      <c r="A214" t="s">
        <v>225</v>
      </c>
      <c r="B214" s="2">
        <v>0.31924476963852699</v>
      </c>
      <c r="C214" s="2">
        <f t="shared" si="15"/>
        <v>6.3848953927705399E-2</v>
      </c>
      <c r="D214" s="2">
        <v>70932</v>
      </c>
      <c r="E214" s="2">
        <f t="shared" si="16"/>
        <v>21279.599999999999</v>
      </c>
      <c r="F214" s="2">
        <f t="shared" si="17"/>
        <v>17733</v>
      </c>
      <c r="G214" s="2">
        <f t="shared" si="18"/>
        <v>3546.6000000000004</v>
      </c>
      <c r="H214" s="2">
        <v>22644.67</v>
      </c>
      <c r="I214" s="2">
        <f t="shared" si="19"/>
        <v>11322.334999999999</v>
      </c>
      <c r="J214" s="2">
        <f xml:space="preserve"> Table1[[#This Row],[Diesel (R)]]</f>
        <v>24.12</v>
      </c>
      <c r="K214" t="str">
        <f xml:space="preserve"> Table1[[#This Row],[Diesel (R) Budget]]</f>
        <v>20.95</v>
      </c>
      <c r="L214" s="2">
        <v>24.12</v>
      </c>
      <c r="M214" t="s">
        <v>506</v>
      </c>
    </row>
    <row r="215" spans="1:13" x14ac:dyDescent="0.3">
      <c r="A215" t="s">
        <v>226</v>
      </c>
      <c r="B215" s="2">
        <v>0.44569433861965091</v>
      </c>
      <c r="C215" s="2">
        <f t="shared" si="15"/>
        <v>8.913886772393019E-2</v>
      </c>
      <c r="D215" s="2">
        <v>112870</v>
      </c>
      <c r="E215" s="2">
        <f t="shared" si="16"/>
        <v>33861</v>
      </c>
      <c r="F215" s="2">
        <f t="shared" si="17"/>
        <v>28217.5</v>
      </c>
      <c r="G215" s="2">
        <f t="shared" si="18"/>
        <v>5643.5</v>
      </c>
      <c r="H215" s="2">
        <v>50305.52</v>
      </c>
      <c r="I215" s="2">
        <f t="shared" si="19"/>
        <v>25152.76</v>
      </c>
      <c r="J215" s="2">
        <f xml:space="preserve"> Table1[[#This Row],[Diesel (R)]]</f>
        <v>22.85</v>
      </c>
      <c r="K215" t="str">
        <f xml:space="preserve"> Table1[[#This Row],[Diesel (R) Budget]]</f>
        <v>19.76</v>
      </c>
      <c r="L215" s="2">
        <v>22.85</v>
      </c>
      <c r="M215" t="s">
        <v>329</v>
      </c>
    </row>
    <row r="216" spans="1:13" x14ac:dyDescent="0.3">
      <c r="A216" t="s">
        <v>227</v>
      </c>
      <c r="B216" s="2">
        <v>0.3021079244145416</v>
      </c>
      <c r="C216" s="2">
        <f t="shared" si="15"/>
        <v>6.0421584882908323E-2</v>
      </c>
      <c r="D216" s="2">
        <v>145954</v>
      </c>
      <c r="E216" s="2">
        <f t="shared" si="16"/>
        <v>43786.2</v>
      </c>
      <c r="F216" s="2">
        <f t="shared" si="17"/>
        <v>36488.5</v>
      </c>
      <c r="G216" s="2">
        <f t="shared" si="18"/>
        <v>7297.7000000000007</v>
      </c>
      <c r="H216" s="2">
        <v>44093.86</v>
      </c>
      <c r="I216" s="2">
        <f t="shared" si="19"/>
        <v>22046.93</v>
      </c>
      <c r="J216" s="2">
        <f xml:space="preserve"> Table1[[#This Row],[Diesel (R)]]</f>
        <v>19.84</v>
      </c>
      <c r="K216" t="str">
        <f xml:space="preserve"> Table1[[#This Row],[Diesel (R) Budget]]</f>
        <v>23.28</v>
      </c>
      <c r="L216" s="2">
        <v>19.84</v>
      </c>
      <c r="M216" t="s">
        <v>376</v>
      </c>
    </row>
    <row r="217" spans="1:13" x14ac:dyDescent="0.3">
      <c r="A217" t="s">
        <v>228</v>
      </c>
      <c r="B217" s="2">
        <v>0.42515512378564713</v>
      </c>
      <c r="C217" s="2">
        <f t="shared" si="15"/>
        <v>8.5031024757129425E-2</v>
      </c>
      <c r="D217" s="2">
        <v>121258</v>
      </c>
      <c r="E217" s="2">
        <f t="shared" si="16"/>
        <v>36377.4</v>
      </c>
      <c r="F217" s="2">
        <f t="shared" si="17"/>
        <v>30314.5</v>
      </c>
      <c r="G217" s="2">
        <f t="shared" si="18"/>
        <v>6062.9000000000005</v>
      </c>
      <c r="H217" s="2">
        <v>51553.46</v>
      </c>
      <c r="I217" s="2">
        <f t="shared" si="19"/>
        <v>25776.73</v>
      </c>
      <c r="J217" s="2">
        <f xml:space="preserve"> Table1[[#This Row],[Diesel (R)]]</f>
        <v>17.47</v>
      </c>
      <c r="K217" t="str">
        <f xml:space="preserve"> Table1[[#This Row],[Diesel (R) Budget]]</f>
        <v>21.22</v>
      </c>
      <c r="L217" s="2">
        <v>17.47</v>
      </c>
      <c r="M217" t="s">
        <v>319</v>
      </c>
    </row>
    <row r="218" spans="1:13" x14ac:dyDescent="0.3">
      <c r="A218" t="s">
        <v>229</v>
      </c>
      <c r="B218" s="2">
        <v>0.28551819733221884</v>
      </c>
      <c r="C218" s="2">
        <f t="shared" si="15"/>
        <v>5.710363946644377E-2</v>
      </c>
      <c r="D218" s="2">
        <v>143565</v>
      </c>
      <c r="E218" s="2">
        <f t="shared" si="16"/>
        <v>43069.5</v>
      </c>
      <c r="F218" s="2">
        <f t="shared" si="17"/>
        <v>35891.25</v>
      </c>
      <c r="G218" s="2">
        <f t="shared" si="18"/>
        <v>7178.25</v>
      </c>
      <c r="H218" s="2">
        <v>40990.42</v>
      </c>
      <c r="I218" s="2">
        <f t="shared" si="19"/>
        <v>20495.21</v>
      </c>
      <c r="J218" s="2">
        <f xml:space="preserve"> Table1[[#This Row],[Diesel (R)]]</f>
        <v>20.54</v>
      </c>
      <c r="K218" t="str">
        <f xml:space="preserve"> Table1[[#This Row],[Diesel (R) Budget]]</f>
        <v>18.84</v>
      </c>
      <c r="L218" s="2">
        <v>20.54</v>
      </c>
      <c r="M218" t="s">
        <v>507</v>
      </c>
    </row>
    <row r="219" spans="1:13" x14ac:dyDescent="0.3">
      <c r="A219" t="s">
        <v>230</v>
      </c>
      <c r="B219" s="2">
        <v>0.33649622894305031</v>
      </c>
      <c r="C219" s="2">
        <f t="shared" si="15"/>
        <v>6.729924578861006E-2</v>
      </c>
      <c r="D219" s="2">
        <v>132854</v>
      </c>
      <c r="E219" s="2">
        <f t="shared" si="16"/>
        <v>39856.199999999997</v>
      </c>
      <c r="F219" s="2">
        <f t="shared" si="17"/>
        <v>33213.5</v>
      </c>
      <c r="G219" s="2">
        <f t="shared" si="18"/>
        <v>6642.7000000000007</v>
      </c>
      <c r="H219" s="2">
        <v>44704.87</v>
      </c>
      <c r="I219" s="2">
        <f t="shared" si="19"/>
        <v>22352.435000000001</v>
      </c>
      <c r="J219" s="2">
        <f xml:space="preserve"> Table1[[#This Row],[Diesel (R)]]</f>
        <v>22.95</v>
      </c>
      <c r="K219" t="str">
        <f xml:space="preserve"> Table1[[#This Row],[Diesel (R) Budget]]</f>
        <v>24.39</v>
      </c>
      <c r="L219" s="2">
        <v>22.95</v>
      </c>
      <c r="M219" t="s">
        <v>373</v>
      </c>
    </row>
    <row r="220" spans="1:13" x14ac:dyDescent="0.3">
      <c r="A220" t="s">
        <v>231</v>
      </c>
      <c r="B220" s="2">
        <v>1.3492759141337884</v>
      </c>
      <c r="C220" s="2">
        <f t="shared" si="15"/>
        <v>0.26985518282675769</v>
      </c>
      <c r="D220" s="2">
        <v>30466</v>
      </c>
      <c r="E220" s="2">
        <f t="shared" si="16"/>
        <v>9139.7999999999993</v>
      </c>
      <c r="F220" s="2">
        <f t="shared" si="17"/>
        <v>7616.5</v>
      </c>
      <c r="G220" s="2">
        <f t="shared" si="18"/>
        <v>1523.3000000000002</v>
      </c>
      <c r="H220" s="2">
        <v>41107.040000000001</v>
      </c>
      <c r="I220" s="2">
        <f t="shared" si="19"/>
        <v>20553.52</v>
      </c>
      <c r="J220" s="2">
        <f xml:space="preserve"> Table1[[#This Row],[Diesel (R)]]</f>
        <v>23.15</v>
      </c>
      <c r="K220" t="str">
        <f xml:space="preserve"> Table1[[#This Row],[Diesel (R) Budget]]</f>
        <v>19.05</v>
      </c>
      <c r="L220" s="2">
        <v>23.15</v>
      </c>
      <c r="M220" t="s">
        <v>508</v>
      </c>
    </row>
    <row r="221" spans="1:13" x14ac:dyDescent="0.3">
      <c r="A221" t="s">
        <v>232</v>
      </c>
      <c r="B221" s="2">
        <v>0.30150544767732268</v>
      </c>
      <c r="C221" s="2">
        <f t="shared" si="15"/>
        <v>6.0301089535464536E-2</v>
      </c>
      <c r="D221" s="2">
        <v>128128</v>
      </c>
      <c r="E221" s="2">
        <f t="shared" si="16"/>
        <v>38438.400000000001</v>
      </c>
      <c r="F221" s="2">
        <f t="shared" si="17"/>
        <v>32032</v>
      </c>
      <c r="G221" s="2">
        <f t="shared" si="18"/>
        <v>6406.4000000000005</v>
      </c>
      <c r="H221" s="2">
        <v>38631.29</v>
      </c>
      <c r="I221" s="2">
        <f t="shared" si="19"/>
        <v>19315.645</v>
      </c>
      <c r="J221" s="2">
        <f xml:space="preserve"> Table1[[#This Row],[Diesel (R)]]</f>
        <v>21.24</v>
      </c>
      <c r="K221" t="str">
        <f xml:space="preserve"> Table1[[#This Row],[Diesel (R) Budget]]</f>
        <v>22.87</v>
      </c>
      <c r="L221" s="2">
        <v>21.24</v>
      </c>
      <c r="M221" t="s">
        <v>401</v>
      </c>
    </row>
    <row r="222" spans="1:13" x14ac:dyDescent="0.3">
      <c r="A222" t="s">
        <v>233</v>
      </c>
      <c r="B222" s="2">
        <v>0.42025143331948484</v>
      </c>
      <c r="C222" s="2">
        <f t="shared" si="15"/>
        <v>8.4050286663896967E-2</v>
      </c>
      <c r="D222" s="2">
        <v>120350</v>
      </c>
      <c r="E222" s="2">
        <f t="shared" si="16"/>
        <v>36105</v>
      </c>
      <c r="F222" s="2">
        <f t="shared" si="17"/>
        <v>30087.5</v>
      </c>
      <c r="G222" s="2">
        <f t="shared" si="18"/>
        <v>6017.5</v>
      </c>
      <c r="H222" s="2">
        <v>50577.26</v>
      </c>
      <c r="I222" s="2">
        <f t="shared" si="19"/>
        <v>25288.63</v>
      </c>
      <c r="J222" s="2">
        <f xml:space="preserve"> Table1[[#This Row],[Diesel (R)]]</f>
        <v>19.21</v>
      </c>
      <c r="K222" t="str">
        <f xml:space="preserve"> Table1[[#This Row],[Diesel (R) Budget]]</f>
        <v>21.58</v>
      </c>
      <c r="L222" s="2">
        <v>19.21</v>
      </c>
      <c r="M222" t="s">
        <v>367</v>
      </c>
    </row>
    <row r="223" spans="1:13" x14ac:dyDescent="0.3">
      <c r="A223" t="s">
        <v>234</v>
      </c>
      <c r="B223" s="2">
        <v>0.29040457230927302</v>
      </c>
      <c r="C223" s="2">
        <f t="shared" si="15"/>
        <v>5.8080914461854607E-2</v>
      </c>
      <c r="D223" s="2">
        <v>101218</v>
      </c>
      <c r="E223" s="2">
        <f t="shared" si="16"/>
        <v>30365.399999999998</v>
      </c>
      <c r="F223" s="2">
        <f t="shared" si="17"/>
        <v>25304.5</v>
      </c>
      <c r="G223" s="2">
        <f t="shared" si="18"/>
        <v>5060.9000000000005</v>
      </c>
      <c r="H223" s="2">
        <v>29394.17</v>
      </c>
      <c r="I223" s="2">
        <f t="shared" si="19"/>
        <v>14697.084999999999</v>
      </c>
      <c r="J223" s="2">
        <f xml:space="preserve"> Table1[[#This Row],[Diesel (R)]]</f>
        <v>24.39</v>
      </c>
      <c r="K223" t="str">
        <f xml:space="preserve"> Table1[[#This Row],[Diesel (R) Budget]]</f>
        <v>23.33</v>
      </c>
      <c r="L223" s="2">
        <v>24.39</v>
      </c>
      <c r="M223" t="s">
        <v>387</v>
      </c>
    </row>
    <row r="224" spans="1:13" x14ac:dyDescent="0.3">
      <c r="A224" t="s">
        <v>235</v>
      </c>
      <c r="B224" s="2">
        <v>0.29537301435711327</v>
      </c>
      <c r="C224" s="2">
        <f t="shared" si="15"/>
        <v>5.907460287142266E-2</v>
      </c>
      <c r="D224" s="2">
        <v>125652</v>
      </c>
      <c r="E224" s="2">
        <f t="shared" si="16"/>
        <v>37695.599999999999</v>
      </c>
      <c r="F224" s="2">
        <f t="shared" si="17"/>
        <v>31413</v>
      </c>
      <c r="G224" s="2">
        <f t="shared" si="18"/>
        <v>6282.6</v>
      </c>
      <c r="H224" s="2">
        <v>37114.21</v>
      </c>
      <c r="I224" s="2">
        <f t="shared" si="19"/>
        <v>18557.105</v>
      </c>
      <c r="J224" s="2">
        <f xml:space="preserve"> Table1[[#This Row],[Diesel (R)]]</f>
        <v>20.07</v>
      </c>
      <c r="K224" t="str">
        <f xml:space="preserve"> Table1[[#This Row],[Diesel (R) Budget]]</f>
        <v>17.89</v>
      </c>
      <c r="L224" s="2">
        <v>20.07</v>
      </c>
      <c r="M224" t="s">
        <v>509</v>
      </c>
    </row>
    <row r="225" spans="1:13" x14ac:dyDescent="0.3">
      <c r="A225" t="s">
        <v>236</v>
      </c>
      <c r="B225" s="2">
        <v>0.35951825648424518</v>
      </c>
      <c r="C225" s="2">
        <f t="shared" si="15"/>
        <v>7.1903651296849044E-2</v>
      </c>
      <c r="D225" s="2">
        <v>151097</v>
      </c>
      <c r="E225" s="2">
        <f t="shared" si="16"/>
        <v>45329.1</v>
      </c>
      <c r="F225" s="2">
        <f t="shared" si="17"/>
        <v>37774.25</v>
      </c>
      <c r="G225" s="2">
        <f t="shared" si="18"/>
        <v>7554.85</v>
      </c>
      <c r="H225" s="2">
        <v>54322.13</v>
      </c>
      <c r="I225" s="2">
        <f t="shared" si="19"/>
        <v>27161.064999999999</v>
      </c>
      <c r="J225" s="2">
        <f xml:space="preserve"> Table1[[#This Row],[Diesel (R)]]</f>
        <v>18.36</v>
      </c>
      <c r="K225" t="str">
        <f xml:space="preserve"> Table1[[#This Row],[Diesel (R) Budget]]</f>
        <v>24.47</v>
      </c>
      <c r="L225" s="2">
        <v>18.36</v>
      </c>
      <c r="M225" t="s">
        <v>510</v>
      </c>
    </row>
    <row r="226" spans="1:13" x14ac:dyDescent="0.3">
      <c r="A226" t="s">
        <v>237</v>
      </c>
      <c r="B226" s="2">
        <v>0.33587892678413728</v>
      </c>
      <c r="C226" s="2">
        <f t="shared" si="15"/>
        <v>6.7175785356827458E-2</v>
      </c>
      <c r="D226" s="2">
        <v>142674</v>
      </c>
      <c r="E226" s="2">
        <f t="shared" si="16"/>
        <v>42802.2</v>
      </c>
      <c r="F226" s="2">
        <f t="shared" si="17"/>
        <v>35668.5</v>
      </c>
      <c r="G226" s="2">
        <f t="shared" si="18"/>
        <v>7133.7000000000007</v>
      </c>
      <c r="H226" s="2">
        <v>47921.19</v>
      </c>
      <c r="I226" s="2">
        <f t="shared" si="19"/>
        <v>23960.595000000001</v>
      </c>
      <c r="J226" s="2">
        <f xml:space="preserve"> Table1[[#This Row],[Diesel (R)]]</f>
        <v>23.74</v>
      </c>
      <c r="K226" t="str">
        <f xml:space="preserve"> Table1[[#This Row],[Diesel (R) Budget]]</f>
        <v>20.44</v>
      </c>
      <c r="L226" s="2">
        <v>23.74</v>
      </c>
      <c r="M226" t="s">
        <v>340</v>
      </c>
    </row>
    <row r="227" spans="1:13" x14ac:dyDescent="0.3">
      <c r="A227" t="s">
        <v>238</v>
      </c>
      <c r="B227" s="2">
        <v>0.31403600720144031</v>
      </c>
      <c r="C227" s="2">
        <f t="shared" si="15"/>
        <v>6.2807201440288063E-2</v>
      </c>
      <c r="D227" s="2">
        <v>149970</v>
      </c>
      <c r="E227" s="2">
        <f t="shared" si="16"/>
        <v>44991</v>
      </c>
      <c r="F227" s="2">
        <f t="shared" si="17"/>
        <v>37492.5</v>
      </c>
      <c r="G227" s="2">
        <f t="shared" si="18"/>
        <v>7498.5</v>
      </c>
      <c r="H227" s="2">
        <v>47095.98</v>
      </c>
      <c r="I227" s="2">
        <f t="shared" si="19"/>
        <v>23547.99</v>
      </c>
      <c r="J227" s="2">
        <f xml:space="preserve"> Table1[[#This Row],[Diesel (R)]]</f>
        <v>22.62</v>
      </c>
      <c r="K227" t="str">
        <f xml:space="preserve"> Table1[[#This Row],[Diesel (R) Budget]]</f>
        <v>19.42</v>
      </c>
      <c r="L227" s="2">
        <v>22.62</v>
      </c>
      <c r="M227" t="s">
        <v>511</v>
      </c>
    </row>
    <row r="228" spans="1:13" x14ac:dyDescent="0.3">
      <c r="A228" t="s">
        <v>239</v>
      </c>
      <c r="B228" s="2">
        <v>0.28347853673044515</v>
      </c>
      <c r="C228" s="2">
        <f t="shared" si="15"/>
        <v>5.669570734608903E-2</v>
      </c>
      <c r="D228" s="2">
        <v>151305</v>
      </c>
      <c r="E228" s="2">
        <f t="shared" si="16"/>
        <v>45391.5</v>
      </c>
      <c r="F228" s="2">
        <f t="shared" si="17"/>
        <v>37826.25</v>
      </c>
      <c r="G228" s="2">
        <f t="shared" si="18"/>
        <v>7565.25</v>
      </c>
      <c r="H228" s="2">
        <v>42891.72</v>
      </c>
      <c r="I228" s="2">
        <f t="shared" si="19"/>
        <v>21445.86</v>
      </c>
      <c r="J228" s="2">
        <f xml:space="preserve"> Table1[[#This Row],[Diesel (R)]]</f>
        <v>21.03</v>
      </c>
      <c r="K228" t="str">
        <f xml:space="preserve"> Table1[[#This Row],[Diesel (R) Budget]]</f>
        <v>23.68</v>
      </c>
      <c r="L228" s="2">
        <v>21.03</v>
      </c>
      <c r="M228" t="s">
        <v>366</v>
      </c>
    </row>
    <row r="229" spans="1:13" x14ac:dyDescent="0.3">
      <c r="A229" t="s">
        <v>240</v>
      </c>
      <c r="B229" s="2">
        <v>0.32644522734350667</v>
      </c>
      <c r="C229" s="2">
        <f t="shared" si="15"/>
        <v>6.5289045468701332E-2</v>
      </c>
      <c r="D229" s="2">
        <v>154128</v>
      </c>
      <c r="E229" s="2">
        <f t="shared" si="16"/>
        <v>46238.400000000001</v>
      </c>
      <c r="F229" s="2">
        <f t="shared" si="17"/>
        <v>38532</v>
      </c>
      <c r="G229" s="2">
        <f t="shared" si="18"/>
        <v>7706.4000000000005</v>
      </c>
      <c r="H229" s="2">
        <v>50314.35</v>
      </c>
      <c r="I229" s="2">
        <f t="shared" si="19"/>
        <v>25157.174999999999</v>
      </c>
      <c r="J229" s="2">
        <f xml:space="preserve"> Table1[[#This Row],[Diesel (R)]]</f>
        <v>19.68</v>
      </c>
      <c r="K229" t="str">
        <f xml:space="preserve"> Table1[[#This Row],[Diesel (R) Budget]]</f>
        <v>21.74</v>
      </c>
      <c r="L229" s="2">
        <v>19.68</v>
      </c>
      <c r="M229" t="s">
        <v>512</v>
      </c>
    </row>
    <row r="230" spans="1:13" x14ac:dyDescent="0.3">
      <c r="A230" t="s">
        <v>241</v>
      </c>
      <c r="B230" s="2">
        <v>0.36254894723327774</v>
      </c>
      <c r="C230" s="2">
        <f t="shared" si="15"/>
        <v>7.2509789446655551E-2</v>
      </c>
      <c r="D230" s="2">
        <v>124624</v>
      </c>
      <c r="E230" s="2">
        <f t="shared" si="16"/>
        <v>37387.199999999997</v>
      </c>
      <c r="F230" s="2">
        <f t="shared" si="17"/>
        <v>31156</v>
      </c>
      <c r="G230" s="2">
        <f t="shared" si="18"/>
        <v>6231.2000000000007</v>
      </c>
      <c r="H230" s="2">
        <v>45182.3</v>
      </c>
      <c r="I230" s="2">
        <f t="shared" si="19"/>
        <v>22591.15</v>
      </c>
      <c r="J230" s="2">
        <f xml:space="preserve"> Table1[[#This Row],[Diesel (R)]]</f>
        <v>24.46</v>
      </c>
      <c r="K230" t="str">
        <f xml:space="preserve"> Table1[[#This Row],[Diesel (R) Budget]]</f>
        <v>18.48</v>
      </c>
      <c r="L230" s="2">
        <v>24.46</v>
      </c>
      <c r="M230" t="s">
        <v>513</v>
      </c>
    </row>
    <row r="231" spans="1:13" x14ac:dyDescent="0.3">
      <c r="A231" t="s">
        <v>242</v>
      </c>
      <c r="B231" s="2">
        <v>0.51550994833235753</v>
      </c>
      <c r="C231" s="2">
        <f t="shared" si="15"/>
        <v>0.10310198966647151</v>
      </c>
      <c r="D231" s="2">
        <v>97353</v>
      </c>
      <c r="E231" s="2">
        <f t="shared" si="16"/>
        <v>29205.899999999998</v>
      </c>
      <c r="F231" s="2">
        <f t="shared" si="17"/>
        <v>24338.25</v>
      </c>
      <c r="G231" s="2">
        <f t="shared" si="18"/>
        <v>4867.6500000000005</v>
      </c>
      <c r="H231" s="2">
        <v>50186.44</v>
      </c>
      <c r="I231" s="2">
        <f t="shared" si="19"/>
        <v>25093.22</v>
      </c>
      <c r="J231" s="2">
        <f xml:space="preserve"> Table1[[#This Row],[Diesel (R)]]</f>
        <v>23.28</v>
      </c>
      <c r="K231" t="str">
        <f xml:space="preserve"> Table1[[#This Row],[Diesel (R) Budget]]</f>
        <v>24.16</v>
      </c>
      <c r="L231" s="2">
        <v>23.28</v>
      </c>
      <c r="M231" t="s">
        <v>514</v>
      </c>
    </row>
    <row r="232" spans="1:13" x14ac:dyDescent="0.3">
      <c r="A232" t="s">
        <v>243</v>
      </c>
      <c r="B232" s="2">
        <v>0.25950667077373274</v>
      </c>
      <c r="C232" s="2">
        <f t="shared" si="15"/>
        <v>5.1901334154746549E-2</v>
      </c>
      <c r="D232" s="2">
        <v>207772</v>
      </c>
      <c r="E232" s="2">
        <f t="shared" si="16"/>
        <v>62331.6</v>
      </c>
      <c r="F232" s="2">
        <f t="shared" si="17"/>
        <v>51943</v>
      </c>
      <c r="G232" s="2">
        <f t="shared" si="18"/>
        <v>10388.6</v>
      </c>
      <c r="H232" s="2">
        <v>53918.22</v>
      </c>
      <c r="I232" s="2">
        <f t="shared" si="19"/>
        <v>26959.11</v>
      </c>
      <c r="J232" s="2">
        <f xml:space="preserve"> Table1[[#This Row],[Diesel (R)]]</f>
        <v>20.58</v>
      </c>
      <c r="K232" t="str">
        <f xml:space="preserve"> Table1[[#This Row],[Diesel (R) Budget]]</f>
        <v>19.38</v>
      </c>
      <c r="L232" s="2">
        <v>20.58</v>
      </c>
      <c r="M232" t="s">
        <v>515</v>
      </c>
    </row>
    <row r="233" spans="1:13" x14ac:dyDescent="0.3">
      <c r="A233" t="s">
        <v>244</v>
      </c>
      <c r="B233" s="2">
        <v>0.34239304376224688</v>
      </c>
      <c r="C233" s="2">
        <f t="shared" si="15"/>
        <v>6.8478608752449377E-2</v>
      </c>
      <c r="D233" s="2">
        <v>146976</v>
      </c>
      <c r="E233" s="2">
        <f t="shared" si="16"/>
        <v>44092.799999999996</v>
      </c>
      <c r="F233" s="2">
        <f t="shared" si="17"/>
        <v>36744</v>
      </c>
      <c r="G233" s="2">
        <f t="shared" si="18"/>
        <v>7348.8</v>
      </c>
      <c r="H233" s="2">
        <v>50323.56</v>
      </c>
      <c r="I233" s="2">
        <f t="shared" si="19"/>
        <v>25161.78</v>
      </c>
      <c r="J233" s="2">
        <f xml:space="preserve"> Table1[[#This Row],[Diesel (R)]]</f>
        <v>22.74</v>
      </c>
      <c r="K233" t="str">
        <f xml:space="preserve"> Table1[[#This Row],[Diesel (R) Budget]]</f>
        <v>22.71</v>
      </c>
      <c r="L233" s="2">
        <v>22.74</v>
      </c>
      <c r="M233" t="s">
        <v>516</v>
      </c>
    </row>
    <row r="234" spans="1:13" x14ac:dyDescent="0.3">
      <c r="A234" t="s">
        <v>245</v>
      </c>
      <c r="B234" s="2">
        <v>0.38063849287169044</v>
      </c>
      <c r="C234" s="2">
        <f t="shared" si="15"/>
        <v>7.6127698574338099E-2</v>
      </c>
      <c r="D234" s="2">
        <v>39280</v>
      </c>
      <c r="E234" s="2">
        <f t="shared" si="16"/>
        <v>11784</v>
      </c>
      <c r="F234" s="2">
        <f t="shared" si="17"/>
        <v>9820</v>
      </c>
      <c r="G234" s="2">
        <f t="shared" si="18"/>
        <v>1964</v>
      </c>
      <c r="H234" s="2">
        <v>14951.48</v>
      </c>
      <c r="I234" s="2">
        <f t="shared" si="19"/>
        <v>7475.74</v>
      </c>
      <c r="J234" s="2">
        <f xml:space="preserve"> Table1[[#This Row],[Diesel (R)]]</f>
        <v>17.82</v>
      </c>
      <c r="K234" t="str">
        <f xml:space="preserve"> Table1[[#This Row],[Diesel (R) Budget]]</f>
        <v>21.27</v>
      </c>
      <c r="L234" s="2">
        <v>17.82</v>
      </c>
      <c r="M234" t="s">
        <v>271</v>
      </c>
    </row>
    <row r="235" spans="1:13" x14ac:dyDescent="0.3">
      <c r="A235" t="s">
        <v>246</v>
      </c>
      <c r="B235" s="2">
        <v>0.34256089794116718</v>
      </c>
      <c r="C235" s="2">
        <f t="shared" si="15"/>
        <v>6.8512179588233441E-2</v>
      </c>
      <c r="D235" s="2">
        <v>158585</v>
      </c>
      <c r="E235" s="2">
        <f t="shared" si="16"/>
        <v>47575.5</v>
      </c>
      <c r="F235" s="2">
        <f t="shared" si="17"/>
        <v>39646.25</v>
      </c>
      <c r="G235" s="2">
        <f t="shared" si="18"/>
        <v>7929.25</v>
      </c>
      <c r="H235" s="2">
        <v>54325.02</v>
      </c>
      <c r="I235" s="2">
        <f t="shared" si="19"/>
        <v>27162.51</v>
      </c>
      <c r="J235" s="2">
        <f xml:space="preserve"> Table1[[#This Row],[Diesel (R)]]</f>
        <v>18.64</v>
      </c>
      <c r="K235" t="str">
        <f xml:space="preserve"> Table1[[#This Row],[Diesel (R) Budget]]</f>
        <v>23.57</v>
      </c>
      <c r="L235" s="2">
        <v>18.64</v>
      </c>
      <c r="M235" t="s">
        <v>517</v>
      </c>
    </row>
    <row r="236" spans="1:13" x14ac:dyDescent="0.3">
      <c r="A236" t="s">
        <v>247</v>
      </c>
      <c r="B236" s="2">
        <v>0.24157731080786676</v>
      </c>
      <c r="C236" s="2">
        <f t="shared" si="15"/>
        <v>4.8315462161573355E-2</v>
      </c>
      <c r="D236" s="2">
        <v>151473</v>
      </c>
      <c r="E236" s="2">
        <f t="shared" si="16"/>
        <v>45441.9</v>
      </c>
      <c r="F236" s="2">
        <f t="shared" si="17"/>
        <v>37868.25</v>
      </c>
      <c r="G236" s="2">
        <f t="shared" si="18"/>
        <v>7573.6500000000005</v>
      </c>
      <c r="H236" s="2">
        <v>36592.44</v>
      </c>
      <c r="I236" s="2">
        <f t="shared" si="19"/>
        <v>18296.22</v>
      </c>
      <c r="J236" s="2">
        <f xml:space="preserve"> Table1[[#This Row],[Diesel (R)]]</f>
        <v>24.71</v>
      </c>
      <c r="K236" t="str">
        <f xml:space="preserve"> Table1[[#This Row],[Diesel (R) Budget]]</f>
        <v>17.96</v>
      </c>
      <c r="L236" s="2">
        <v>24.71</v>
      </c>
      <c r="M236" t="s">
        <v>518</v>
      </c>
    </row>
    <row r="237" spans="1:13" x14ac:dyDescent="0.3">
      <c r="A237" t="s">
        <v>248</v>
      </c>
      <c r="B237" s="2">
        <v>0.19827132708378181</v>
      </c>
      <c r="C237" s="2">
        <f t="shared" si="15"/>
        <v>3.9654265416756367E-2</v>
      </c>
      <c r="D237" s="2">
        <v>153291</v>
      </c>
      <c r="E237" s="2">
        <f t="shared" si="16"/>
        <v>45987.299999999996</v>
      </c>
      <c r="F237" s="2">
        <f t="shared" si="17"/>
        <v>38322.75</v>
      </c>
      <c r="G237" s="2">
        <f t="shared" si="18"/>
        <v>7664.55</v>
      </c>
      <c r="H237" s="2">
        <v>30393.21</v>
      </c>
      <c r="I237" s="2">
        <f t="shared" si="19"/>
        <v>15196.605</v>
      </c>
      <c r="J237" s="2">
        <f xml:space="preserve"> Table1[[#This Row],[Diesel (R)]]</f>
        <v>23.91</v>
      </c>
      <c r="K237" t="str">
        <f xml:space="preserve"> Table1[[#This Row],[Diesel (R) Budget]]</f>
        <v>24.21</v>
      </c>
      <c r="L237" s="2">
        <v>23.91</v>
      </c>
      <c r="M237" t="s">
        <v>294</v>
      </c>
    </row>
    <row r="238" spans="1:13" x14ac:dyDescent="0.3">
      <c r="A238" t="s">
        <v>249</v>
      </c>
      <c r="B238" s="2">
        <v>0.26126757889621238</v>
      </c>
      <c r="C238" s="2">
        <f t="shared" si="15"/>
        <v>5.2253515779242476E-2</v>
      </c>
      <c r="D238" s="2">
        <v>131692</v>
      </c>
      <c r="E238" s="2">
        <f t="shared" si="16"/>
        <v>39507.599999999999</v>
      </c>
      <c r="F238" s="2">
        <f t="shared" si="17"/>
        <v>32923</v>
      </c>
      <c r="G238" s="2">
        <f t="shared" si="18"/>
        <v>6584.6</v>
      </c>
      <c r="H238" s="2">
        <v>34406.85</v>
      </c>
      <c r="I238" s="2">
        <f t="shared" si="19"/>
        <v>17203.424999999999</v>
      </c>
      <c r="J238" s="2">
        <f xml:space="preserve"> Table1[[#This Row],[Diesel (R)]]</f>
        <v>21.49</v>
      </c>
      <c r="K238" t="str">
        <f xml:space="preserve"> Table1[[#This Row],[Diesel (R) Budget]]</f>
        <v>20.73</v>
      </c>
      <c r="L238" s="2">
        <v>21.49</v>
      </c>
      <c r="M238" t="s">
        <v>321</v>
      </c>
    </row>
    <row r="239" spans="1:13" x14ac:dyDescent="0.3">
      <c r="A239" t="s">
        <v>250</v>
      </c>
      <c r="B239" s="2">
        <v>0.30382098044263151</v>
      </c>
      <c r="C239" s="2">
        <f t="shared" si="15"/>
        <v>6.0764196088526304E-2</v>
      </c>
      <c r="D239" s="2">
        <v>151503</v>
      </c>
      <c r="E239" s="2">
        <f t="shared" si="16"/>
        <v>45450.9</v>
      </c>
      <c r="F239" s="2">
        <f t="shared" si="17"/>
        <v>37875.75</v>
      </c>
      <c r="G239" s="2">
        <f t="shared" si="18"/>
        <v>7575.1500000000005</v>
      </c>
      <c r="H239" s="2">
        <v>46029.79</v>
      </c>
      <c r="I239" s="2">
        <f t="shared" si="19"/>
        <v>23014.895</v>
      </c>
      <c r="J239" s="2">
        <f xml:space="preserve"> Table1[[#This Row],[Diesel (R)]]</f>
        <v>19.739999999999998</v>
      </c>
      <c r="K239" t="str">
        <f xml:space="preserve"> Table1[[#This Row],[Diesel (R) Budget]]</f>
        <v>19.51</v>
      </c>
      <c r="L239" s="2">
        <v>19.739999999999998</v>
      </c>
      <c r="M239" t="s">
        <v>519</v>
      </c>
    </row>
    <row r="240" spans="1:13" x14ac:dyDescent="0.3">
      <c r="A240" t="s">
        <v>251</v>
      </c>
      <c r="B240" s="2">
        <v>0.28272719086803533</v>
      </c>
      <c r="C240" s="2">
        <f t="shared" si="15"/>
        <v>5.654543817360707E-2</v>
      </c>
      <c r="D240" s="2">
        <v>144372</v>
      </c>
      <c r="E240" s="2">
        <f t="shared" si="16"/>
        <v>43311.6</v>
      </c>
      <c r="F240" s="2">
        <f t="shared" si="17"/>
        <v>36093</v>
      </c>
      <c r="G240" s="2">
        <f t="shared" si="18"/>
        <v>7218.6</v>
      </c>
      <c r="H240" s="2">
        <v>40817.89</v>
      </c>
      <c r="I240" s="2">
        <f t="shared" si="19"/>
        <v>20408.945</v>
      </c>
      <c r="J240" s="2">
        <f xml:space="preserve"> Table1[[#This Row],[Diesel (R)]]</f>
        <v>20.29</v>
      </c>
      <c r="K240" t="str">
        <f xml:space="preserve"> Table1[[#This Row],[Diesel (R) Budget]]</f>
        <v>23.12</v>
      </c>
      <c r="L240" s="2">
        <v>20.29</v>
      </c>
      <c r="M240" t="s">
        <v>327</v>
      </c>
    </row>
    <row r="241" spans="1:13" x14ac:dyDescent="0.3">
      <c r="A241" t="s">
        <v>252</v>
      </c>
      <c r="B241" s="2">
        <v>0.28402866117512121</v>
      </c>
      <c r="C241" s="2">
        <f t="shared" si="15"/>
        <v>5.6805732235024248E-2</v>
      </c>
      <c r="D241" s="2">
        <v>153448</v>
      </c>
      <c r="E241" s="2">
        <f t="shared" si="16"/>
        <v>46034.400000000001</v>
      </c>
      <c r="F241" s="2">
        <f t="shared" si="17"/>
        <v>38362</v>
      </c>
      <c r="G241" s="2">
        <f t="shared" si="18"/>
        <v>7672.4000000000005</v>
      </c>
      <c r="H241" s="2">
        <v>43583.63</v>
      </c>
      <c r="I241" s="2">
        <f t="shared" si="19"/>
        <v>21791.814999999999</v>
      </c>
      <c r="J241" s="2">
        <f xml:space="preserve"> Table1[[#This Row],[Diesel (R)]]</f>
        <v>22.12</v>
      </c>
      <c r="K241" t="str">
        <f xml:space="preserve"> Table1[[#This Row],[Diesel (R) Budget]]</f>
        <v>21.36</v>
      </c>
      <c r="L241" s="2">
        <v>22.12</v>
      </c>
      <c r="M241" t="s">
        <v>355</v>
      </c>
    </row>
    <row r="242" spans="1:13" x14ac:dyDescent="0.3">
      <c r="A242" t="s">
        <v>253</v>
      </c>
      <c r="B242" s="2">
        <v>0.29157849043894773</v>
      </c>
      <c r="C242" s="2">
        <f t="shared" si="15"/>
        <v>5.8315698087789553E-2</v>
      </c>
      <c r="D242" s="2">
        <v>133615</v>
      </c>
      <c r="E242" s="2">
        <f t="shared" si="16"/>
        <v>40084.5</v>
      </c>
      <c r="F242" s="2">
        <f t="shared" si="17"/>
        <v>33403.75</v>
      </c>
      <c r="G242" s="2">
        <f t="shared" si="18"/>
        <v>6680.75</v>
      </c>
      <c r="H242" s="2">
        <v>38959.26</v>
      </c>
      <c r="I242" s="2">
        <f t="shared" si="19"/>
        <v>19479.63</v>
      </c>
      <c r="J242" s="2">
        <f xml:space="preserve"> Table1[[#This Row],[Diesel (R)]]</f>
        <v>23.01</v>
      </c>
      <c r="K242" t="str">
        <f xml:space="preserve"> Table1[[#This Row],[Diesel (R) Budget]]</f>
        <v>18.67</v>
      </c>
      <c r="L242" s="2">
        <v>23.01</v>
      </c>
      <c r="M242" t="s">
        <v>520</v>
      </c>
    </row>
    <row r="243" spans="1:13" x14ac:dyDescent="0.3">
      <c r="A243" t="s">
        <v>254</v>
      </c>
      <c r="B243" s="2">
        <v>0.27969625896941691</v>
      </c>
      <c r="C243" s="2">
        <f t="shared" si="15"/>
        <v>5.5939251793883385E-2</v>
      </c>
      <c r="D243" s="2">
        <v>129189</v>
      </c>
      <c r="E243" s="2">
        <f t="shared" si="16"/>
        <v>38756.699999999997</v>
      </c>
      <c r="F243" s="2">
        <f t="shared" si="17"/>
        <v>32297.25</v>
      </c>
      <c r="G243" s="2">
        <f t="shared" si="18"/>
        <v>6459.4500000000007</v>
      </c>
      <c r="H243" s="2">
        <v>36133.68</v>
      </c>
      <c r="I243" s="2">
        <f t="shared" si="19"/>
        <v>18066.84</v>
      </c>
      <c r="J243" s="2">
        <f xml:space="preserve"> Table1[[#This Row],[Diesel (R)]]</f>
        <v>24.34</v>
      </c>
      <c r="K243" t="str">
        <f xml:space="preserve"> Table1[[#This Row],[Diesel (R) Budget]]</f>
        <v>24.65</v>
      </c>
      <c r="L243" s="2">
        <v>24.34</v>
      </c>
      <c r="M243" t="s">
        <v>352</v>
      </c>
    </row>
    <row r="244" spans="1:13" x14ac:dyDescent="0.3">
      <c r="A244" t="s">
        <v>255</v>
      </c>
      <c r="B244" s="2">
        <v>0.36160654906434975</v>
      </c>
      <c r="C244" s="2">
        <f t="shared" si="15"/>
        <v>7.2321309812869952E-2</v>
      </c>
      <c r="D244" s="2">
        <v>102549</v>
      </c>
      <c r="E244" s="2">
        <f t="shared" si="16"/>
        <v>30764.699999999997</v>
      </c>
      <c r="F244" s="2">
        <f t="shared" si="17"/>
        <v>25637.25</v>
      </c>
      <c r="G244" s="2">
        <f t="shared" si="18"/>
        <v>5127.4500000000007</v>
      </c>
      <c r="H244" s="2">
        <v>37082.39</v>
      </c>
      <c r="I244" s="2">
        <f t="shared" si="19"/>
        <v>18541.195</v>
      </c>
      <c r="J244" s="2">
        <f xml:space="preserve"> Table1[[#This Row],[Diesel (R)]]</f>
        <v>21.72</v>
      </c>
      <c r="K244" t="str">
        <f xml:space="preserve"> Table1[[#This Row],[Diesel (R) Budget]]</f>
        <v>19.93</v>
      </c>
      <c r="L244" s="2">
        <v>21.72</v>
      </c>
      <c r="M244" t="s">
        <v>396</v>
      </c>
    </row>
    <row r="245" spans="1:13" x14ac:dyDescent="0.3">
      <c r="A245" t="s">
        <v>256</v>
      </c>
      <c r="B245" s="2">
        <v>0.37740072727272728</v>
      </c>
      <c r="C245" s="2">
        <f t="shared" si="15"/>
        <v>7.5480145454545455E-2</v>
      </c>
      <c r="D245" s="2">
        <v>137500</v>
      </c>
      <c r="E245" s="2">
        <f t="shared" si="16"/>
        <v>41250</v>
      </c>
      <c r="F245" s="2">
        <f t="shared" si="17"/>
        <v>34375</v>
      </c>
      <c r="G245" s="2">
        <f t="shared" si="18"/>
        <v>6875</v>
      </c>
      <c r="H245" s="2">
        <v>51892.6</v>
      </c>
      <c r="I245" s="2">
        <f t="shared" si="19"/>
        <v>25946.3</v>
      </c>
      <c r="J245" s="2">
        <f xml:space="preserve"> Table1[[#This Row],[Diesel (R)]]</f>
        <v>18.940000000000001</v>
      </c>
      <c r="K245" t="str">
        <f xml:space="preserve"> Table1[[#This Row],[Diesel (R) Budget]]</f>
        <v>22.53</v>
      </c>
      <c r="L245" s="2">
        <v>18.940000000000001</v>
      </c>
      <c r="M245" t="s">
        <v>356</v>
      </c>
    </row>
    <row r="246" spans="1:13" x14ac:dyDescent="0.3">
      <c r="A246" t="s">
        <v>257</v>
      </c>
      <c r="B246" s="2">
        <v>0.28541667184683289</v>
      </c>
      <c r="C246" s="2">
        <f t="shared" si="15"/>
        <v>5.7083334369366578E-2</v>
      </c>
      <c r="D246" s="2">
        <v>160870</v>
      </c>
      <c r="E246" s="2">
        <f t="shared" si="16"/>
        <v>48261</v>
      </c>
      <c r="F246" s="2">
        <f t="shared" si="17"/>
        <v>40217.5</v>
      </c>
      <c r="G246" s="2">
        <f t="shared" si="18"/>
        <v>8043.5</v>
      </c>
      <c r="H246" s="2">
        <v>45914.98</v>
      </c>
      <c r="I246" s="2">
        <f t="shared" si="19"/>
        <v>22957.49</v>
      </c>
      <c r="J246" s="2">
        <f xml:space="preserve"> Table1[[#This Row],[Diesel (R)]]</f>
        <v>19.55</v>
      </c>
      <c r="K246" t="str">
        <f xml:space="preserve"> Table1[[#This Row],[Diesel (R) Budget]]</f>
        <v>21.88</v>
      </c>
      <c r="L246" s="2">
        <v>19.55</v>
      </c>
      <c r="M246" t="s">
        <v>272</v>
      </c>
    </row>
    <row r="247" spans="1:13" x14ac:dyDescent="0.3">
      <c r="A247" t="s">
        <v>258</v>
      </c>
      <c r="B247" s="2">
        <v>0.28251375691977193</v>
      </c>
      <c r="C247" s="2">
        <f t="shared" si="15"/>
        <v>5.6502751383954386E-2</v>
      </c>
      <c r="D247" s="2">
        <v>121030</v>
      </c>
      <c r="E247" s="2">
        <f t="shared" si="16"/>
        <v>36309</v>
      </c>
      <c r="F247" s="2">
        <f t="shared" si="17"/>
        <v>30257.5</v>
      </c>
      <c r="G247" s="2">
        <f t="shared" si="18"/>
        <v>6051.5</v>
      </c>
      <c r="H247" s="2">
        <v>34192.639999999999</v>
      </c>
      <c r="I247" s="2">
        <f t="shared" si="19"/>
        <v>17096.32</v>
      </c>
      <c r="J247" s="2">
        <f xml:space="preserve"> Table1[[#This Row],[Diesel (R)]]</f>
        <v>24.24</v>
      </c>
      <c r="K247" t="str">
        <f xml:space="preserve"> Table1[[#This Row],[Diesel (R) Budget]]</f>
        <v>23.49</v>
      </c>
      <c r="L247" s="2">
        <v>24.24</v>
      </c>
      <c r="M247" t="s">
        <v>521</v>
      </c>
    </row>
    <row r="248" spans="1:13" x14ac:dyDescent="0.3">
      <c r="A248" t="s">
        <v>259</v>
      </c>
      <c r="B248" s="2">
        <v>0.57302501100652004</v>
      </c>
      <c r="C248" s="2">
        <f t="shared" si="15"/>
        <v>0.11460500220130401</v>
      </c>
      <c r="D248" s="2">
        <v>47699</v>
      </c>
      <c r="E248" s="2">
        <f t="shared" si="16"/>
        <v>14309.699999999999</v>
      </c>
      <c r="F248" s="2">
        <f t="shared" si="17"/>
        <v>11924.75</v>
      </c>
      <c r="G248" s="2">
        <f t="shared" si="18"/>
        <v>2384.9500000000003</v>
      </c>
      <c r="H248" s="2">
        <v>27332.720000000001</v>
      </c>
      <c r="I248" s="2">
        <f t="shared" si="19"/>
        <v>13666.36</v>
      </c>
      <c r="J248" s="2">
        <f xml:space="preserve"> Table1[[#This Row],[Diesel (R)]]</f>
        <v>22.06</v>
      </c>
      <c r="K248" t="str">
        <f xml:space="preserve"> Table1[[#This Row],[Diesel (R) Budget]]</f>
        <v>17.85</v>
      </c>
      <c r="L248" s="2">
        <v>22.06</v>
      </c>
      <c r="M248" t="s">
        <v>522</v>
      </c>
    </row>
    <row r="249" spans="1:13" x14ac:dyDescent="0.3">
      <c r="A249" t="s">
        <v>260</v>
      </c>
      <c r="B249" s="2">
        <v>0.50938680123645297</v>
      </c>
      <c r="C249" s="2">
        <f t="shared" si="15"/>
        <v>0.1018773602472906</v>
      </c>
      <c r="D249" s="2">
        <v>53702</v>
      </c>
      <c r="E249" s="2">
        <f t="shared" si="16"/>
        <v>16110.599999999999</v>
      </c>
      <c r="F249" s="2">
        <f t="shared" si="17"/>
        <v>13425.5</v>
      </c>
      <c r="G249" s="2">
        <f t="shared" si="18"/>
        <v>2685.1000000000004</v>
      </c>
      <c r="H249" s="2">
        <v>27355.09</v>
      </c>
      <c r="I249" s="2">
        <f t="shared" si="19"/>
        <v>13677.545</v>
      </c>
      <c r="J249" s="2">
        <f xml:space="preserve"> Table1[[#This Row],[Diesel (R)]]</f>
        <v>23.78</v>
      </c>
      <c r="K249" t="str">
        <f xml:space="preserve"> Table1[[#This Row],[Diesel (R) Budget]]</f>
        <v>24.41</v>
      </c>
      <c r="L249" s="2">
        <v>23.78</v>
      </c>
      <c r="M249" t="s">
        <v>523</v>
      </c>
    </row>
    <row r="250" spans="1:13" x14ac:dyDescent="0.3">
      <c r="A250" t="s">
        <v>261</v>
      </c>
      <c r="B250" s="2">
        <v>0.35767315018376489</v>
      </c>
      <c r="C250" s="2">
        <f t="shared" si="15"/>
        <v>7.1534630036752977E-2</v>
      </c>
      <c r="D250" s="2">
        <v>119174</v>
      </c>
      <c r="E250" s="2">
        <f t="shared" si="16"/>
        <v>35752.199999999997</v>
      </c>
      <c r="F250" s="2">
        <f t="shared" si="17"/>
        <v>29793.5</v>
      </c>
      <c r="G250" s="2">
        <f t="shared" si="18"/>
        <v>5958.7000000000007</v>
      </c>
      <c r="H250" s="2">
        <v>42625.34</v>
      </c>
      <c r="I250" s="2">
        <f t="shared" si="19"/>
        <v>21312.67</v>
      </c>
      <c r="J250" s="2">
        <f xml:space="preserve"> Table1[[#This Row],[Diesel (R)]]</f>
        <v>20.61</v>
      </c>
      <c r="K250" t="str">
        <f xml:space="preserve"> Table1[[#This Row],[Diesel (R) Budget]]</f>
        <v>20.27</v>
      </c>
      <c r="L250" s="2">
        <v>20.61</v>
      </c>
      <c r="M250" t="s">
        <v>524</v>
      </c>
    </row>
    <row r="251" spans="1:13" x14ac:dyDescent="0.3">
      <c r="A251" t="s">
        <v>262</v>
      </c>
      <c r="B251" s="2">
        <v>0.24757347069445543</v>
      </c>
      <c r="C251" s="2">
        <f t="shared" si="15"/>
        <v>4.9514694138891091E-2</v>
      </c>
      <c r="D251" s="2">
        <v>139001</v>
      </c>
      <c r="E251" s="2">
        <f t="shared" si="16"/>
        <v>41700.299999999996</v>
      </c>
      <c r="F251" s="2">
        <f t="shared" si="17"/>
        <v>34750.25</v>
      </c>
      <c r="G251" s="2">
        <f t="shared" si="18"/>
        <v>6950.05</v>
      </c>
      <c r="H251" s="2">
        <v>34412.959999999999</v>
      </c>
      <c r="I251" s="2">
        <f t="shared" si="19"/>
        <v>17206.48</v>
      </c>
      <c r="J251" s="2">
        <f xml:space="preserve"> Table1[[#This Row],[Diesel (R)]]</f>
        <v>17.95</v>
      </c>
      <c r="K251" t="str">
        <f xml:space="preserve"> Table1[[#This Row],[Diesel (R) Budget]]</f>
        <v>19.34</v>
      </c>
      <c r="L251" s="2">
        <v>17.95</v>
      </c>
      <c r="M251" t="s">
        <v>525</v>
      </c>
    </row>
    <row r="252" spans="1:13" x14ac:dyDescent="0.3">
      <c r="A252" t="s">
        <v>263</v>
      </c>
      <c r="B252" s="2">
        <v>0.26900605400748973</v>
      </c>
      <c r="C252" s="2">
        <f t="shared" si="15"/>
        <v>5.3801210801497946E-2</v>
      </c>
      <c r="D252" s="2">
        <v>167162</v>
      </c>
      <c r="E252" s="2">
        <f t="shared" si="16"/>
        <v>50148.6</v>
      </c>
      <c r="F252" s="2">
        <f t="shared" si="17"/>
        <v>41790.5</v>
      </c>
      <c r="G252" s="2">
        <f t="shared" si="18"/>
        <v>8358.1</v>
      </c>
      <c r="H252" s="2">
        <v>44967.59</v>
      </c>
      <c r="I252" s="2">
        <f t="shared" si="19"/>
        <v>22483.794999999998</v>
      </c>
      <c r="J252" s="2">
        <f xml:space="preserve"> Table1[[#This Row],[Diesel (R)]]</f>
        <v>24.57</v>
      </c>
      <c r="K252" t="str">
        <f xml:space="preserve"> Table1[[#This Row],[Diesel (R) Budget]]</f>
        <v>23.97</v>
      </c>
      <c r="L252" s="2">
        <v>24.57</v>
      </c>
      <c r="M252" t="s">
        <v>526</v>
      </c>
    </row>
    <row r="253" spans="1:13" x14ac:dyDescent="0.3">
      <c r="A253" t="s">
        <v>264</v>
      </c>
      <c r="B253" s="2">
        <v>0.28329790561360424</v>
      </c>
      <c r="C253" s="2">
        <f t="shared" si="15"/>
        <v>5.6659581122720848E-2</v>
      </c>
      <c r="D253" s="2">
        <v>172652</v>
      </c>
      <c r="E253" s="2">
        <f t="shared" si="16"/>
        <v>51795.6</v>
      </c>
      <c r="F253" s="2">
        <f t="shared" si="17"/>
        <v>43163</v>
      </c>
      <c r="G253" s="2">
        <f t="shared" si="18"/>
        <v>8632.6</v>
      </c>
      <c r="H253" s="2">
        <v>48911.95</v>
      </c>
      <c r="I253" s="2">
        <f t="shared" si="19"/>
        <v>24455.974999999999</v>
      </c>
      <c r="J253" s="2">
        <f xml:space="preserve"> Table1[[#This Row],[Diesel (R)]]</f>
        <v>23.33</v>
      </c>
      <c r="K253" t="str">
        <f xml:space="preserve"> Table1[[#This Row],[Diesel (R) Budget]]</f>
        <v>21.63</v>
      </c>
      <c r="L253" s="2">
        <v>23.33</v>
      </c>
      <c r="M253" t="s">
        <v>394</v>
      </c>
    </row>
    <row r="254" spans="1:13" x14ac:dyDescent="0.3">
      <c r="A254" t="s">
        <v>265</v>
      </c>
      <c r="B254" s="2">
        <v>0.25118656861426242</v>
      </c>
      <c r="C254" s="2">
        <f t="shared" si="15"/>
        <v>5.0237313722852485E-2</v>
      </c>
      <c r="D254" s="2">
        <v>133806</v>
      </c>
      <c r="E254" s="2">
        <f t="shared" si="16"/>
        <v>40141.799999999996</v>
      </c>
      <c r="F254" s="2">
        <f t="shared" si="17"/>
        <v>33451.5</v>
      </c>
      <c r="G254" s="2">
        <f t="shared" si="18"/>
        <v>6690.3</v>
      </c>
      <c r="H254" s="2">
        <v>33610.269999999997</v>
      </c>
      <c r="I254" s="2">
        <f t="shared" si="19"/>
        <v>16805.134999999998</v>
      </c>
      <c r="J254" s="2">
        <f xml:space="preserve"> Table1[[#This Row],[Diesel (R)]]</f>
        <v>21.81</v>
      </c>
      <c r="K254" t="str">
        <f xml:space="preserve"> Table1[[#This Row],[Diesel (R) Budget]]</f>
        <v>18.72</v>
      </c>
      <c r="L254" s="2">
        <v>21.81</v>
      </c>
      <c r="M254" t="s">
        <v>357</v>
      </c>
    </row>
    <row r="255" spans="1:13" x14ac:dyDescent="0.3">
      <c r="A255" t="s">
        <v>266</v>
      </c>
      <c r="B255" s="2">
        <v>0.31318204644236264</v>
      </c>
      <c r="C255" s="2">
        <f t="shared" si="15"/>
        <v>6.2636409288472528E-2</v>
      </c>
      <c r="D255" s="2">
        <v>173247</v>
      </c>
      <c r="E255" s="2">
        <f t="shared" si="16"/>
        <v>51974.1</v>
      </c>
      <c r="F255" s="2">
        <f t="shared" si="17"/>
        <v>43311.75</v>
      </c>
      <c r="G255" s="2">
        <f t="shared" si="18"/>
        <v>8662.35</v>
      </c>
      <c r="H255" s="2">
        <v>54257.85</v>
      </c>
      <c r="I255" s="2">
        <f t="shared" si="19"/>
        <v>27128.924999999999</v>
      </c>
      <c r="J255" s="2">
        <f xml:space="preserve"> Table1[[#This Row],[Diesel (R)]]</f>
        <v>19.98</v>
      </c>
      <c r="K255" t="str">
        <f xml:space="preserve"> Table1[[#This Row],[Diesel (R) Budget]]</f>
        <v>24.08</v>
      </c>
      <c r="L255" s="2">
        <v>19.98</v>
      </c>
      <c r="M255" t="s">
        <v>303</v>
      </c>
    </row>
    <row r="256" spans="1:13" x14ac:dyDescent="0.3">
      <c r="A256" t="s">
        <v>267</v>
      </c>
      <c r="B256" s="2">
        <v>0.31633245665442178</v>
      </c>
      <c r="C256" s="2">
        <f t="shared" si="15"/>
        <v>6.3266491330884356E-2</v>
      </c>
      <c r="D256" s="2">
        <v>139922</v>
      </c>
      <c r="E256" s="2">
        <f t="shared" si="16"/>
        <v>41976.6</v>
      </c>
      <c r="F256" s="2">
        <f t="shared" si="17"/>
        <v>34980.5</v>
      </c>
      <c r="G256" s="2">
        <f t="shared" si="18"/>
        <v>6996.1</v>
      </c>
      <c r="H256" s="2">
        <v>44261.87</v>
      </c>
      <c r="I256" s="2">
        <f t="shared" si="19"/>
        <v>22130.935000000001</v>
      </c>
      <c r="J256" s="2">
        <f xml:space="preserve"> Table1[[#This Row],[Diesel (R)]]</f>
        <v>18.41</v>
      </c>
      <c r="K256" t="str">
        <f xml:space="preserve"> Table1[[#This Row],[Diesel (R) Budget]]</f>
        <v>19.14</v>
      </c>
      <c r="L256" s="2">
        <v>18.41</v>
      </c>
      <c r="M256" t="s">
        <v>410</v>
      </c>
    </row>
    <row r="257" spans="1:13" x14ac:dyDescent="0.3">
      <c r="A257" t="s">
        <v>268</v>
      </c>
      <c r="B257" s="2">
        <v>0.28074974267402913</v>
      </c>
      <c r="C257" s="2">
        <f t="shared" si="15"/>
        <v>5.614994853480583E-2</v>
      </c>
      <c r="D257" s="2">
        <v>175847</v>
      </c>
      <c r="E257" s="2">
        <f t="shared" si="16"/>
        <v>52754.1</v>
      </c>
      <c r="F257" s="2">
        <f t="shared" si="17"/>
        <v>43961.75</v>
      </c>
      <c r="G257" s="2">
        <f t="shared" si="18"/>
        <v>8792.35</v>
      </c>
      <c r="H257" s="2">
        <v>49369</v>
      </c>
      <c r="I257" s="2">
        <f t="shared" si="19"/>
        <v>24684.5</v>
      </c>
      <c r="J257" s="2">
        <f xml:space="preserve"> Table1[[#This Row],[Diesel (R)]]</f>
        <v>23.44</v>
      </c>
      <c r="K257" t="str">
        <f xml:space="preserve"> Table1[[#This Row],[Diesel (R) Budget]]</f>
        <v>22.69</v>
      </c>
      <c r="L257" s="2">
        <v>23.44</v>
      </c>
      <c r="M257" t="s">
        <v>310</v>
      </c>
    </row>
    <row r="258" spans="1:13" x14ac:dyDescent="0.3">
      <c r="A258" t="s">
        <v>269</v>
      </c>
      <c r="B258" s="2">
        <v>0.25136335632491796</v>
      </c>
      <c r="C258" s="2">
        <f t="shared" ref="C258:C259" si="20">B258*0.2</f>
        <v>5.0272671264983596E-2</v>
      </c>
      <c r="D258" s="2">
        <v>149330</v>
      </c>
      <c r="E258" s="2">
        <f t="shared" ref="E258:E259" si="21">D258*0.3</f>
        <v>44799</v>
      </c>
      <c r="F258" s="2">
        <f t="shared" si="17"/>
        <v>37332.5</v>
      </c>
      <c r="G258" s="2">
        <f t="shared" ref="G258:G259" si="22">F258*0.2</f>
        <v>7466.5</v>
      </c>
      <c r="H258" s="2">
        <v>37536.089999999997</v>
      </c>
      <c r="I258" s="2">
        <f t="shared" ref="I258:I259" si="23">H258*0.5</f>
        <v>18768.044999999998</v>
      </c>
      <c r="J258" s="2">
        <f xml:space="preserve"> Table1[[#This Row],[Diesel (R)]]</f>
        <v>22.29</v>
      </c>
      <c r="K258" t="str">
        <f xml:space="preserve"> Table1[[#This Row],[Diesel (R) Budget]]</f>
        <v>21.17</v>
      </c>
      <c r="L258" s="2">
        <v>22.29</v>
      </c>
      <c r="M258" t="s">
        <v>527</v>
      </c>
    </row>
    <row r="259" spans="1:13" x14ac:dyDescent="0.3">
      <c r="A259" t="s">
        <v>270</v>
      </c>
      <c r="B259" s="2">
        <v>0.33478907508539263</v>
      </c>
      <c r="C259" s="2">
        <f t="shared" si="20"/>
        <v>6.6957815017078523E-2</v>
      </c>
      <c r="D259" s="2">
        <v>149603</v>
      </c>
      <c r="E259" s="2">
        <f t="shared" si="21"/>
        <v>44880.9</v>
      </c>
      <c r="F259" s="2">
        <f t="shared" si="17"/>
        <v>37400.75</v>
      </c>
      <c r="G259" s="2">
        <f t="shared" si="22"/>
        <v>7480.1500000000005</v>
      </c>
      <c r="H259" s="2">
        <v>50085.45</v>
      </c>
      <c r="I259" s="2">
        <f t="shared" si="23"/>
        <v>25042.724999999999</v>
      </c>
      <c r="J259" s="2">
        <f xml:space="preserve"> Table1[[#This Row],[Diesel (R)]]</f>
        <v>21.08</v>
      </c>
      <c r="K259" t="str">
        <f xml:space="preserve"> Table1[[#This Row],[Diesel (R) Budget]]</f>
        <v>23.26</v>
      </c>
      <c r="L259" s="2">
        <v>21.08</v>
      </c>
      <c r="M259" t="s">
        <v>528</v>
      </c>
    </row>
    <row r="260" spans="1:13" x14ac:dyDescent="0.3">
      <c r="C260" s="2">
        <f t="shared" ref="C260:C271" si="24">B260*0.2</f>
        <v>0</v>
      </c>
      <c r="E260" s="2">
        <f t="shared" ref="E260:E271" si="25">D260*0.3</f>
        <v>0</v>
      </c>
      <c r="F260" s="2">
        <f t="shared" ref="F260:F271" si="26">D260/4</f>
        <v>0</v>
      </c>
      <c r="G260" s="2">
        <f t="shared" ref="G260:G271" si="27">F260*0.2</f>
        <v>0</v>
      </c>
      <c r="I260" s="2">
        <f t="shared" ref="I260:I271" si="28">H260*0.5</f>
        <v>0</v>
      </c>
      <c r="J260" s="2">
        <f xml:space="preserve"> Table1[[#This Row],[Diesel (R)]]</f>
        <v>20.72</v>
      </c>
      <c r="K260" t="str">
        <f xml:space="preserve"> Table1[[#This Row],[Diesel (R) Budget]]</f>
        <v>17.91</v>
      </c>
      <c r="L260" s="2">
        <v>20.72</v>
      </c>
      <c r="M260" t="s">
        <v>278</v>
      </c>
    </row>
    <row r="261" spans="1:13" x14ac:dyDescent="0.3">
      <c r="C261" s="2">
        <f t="shared" si="24"/>
        <v>0</v>
      </c>
      <c r="E261" s="2">
        <f t="shared" si="25"/>
        <v>0</v>
      </c>
      <c r="F261" s="2">
        <f t="shared" si="26"/>
        <v>0</v>
      </c>
      <c r="G261" s="2">
        <f t="shared" si="27"/>
        <v>0</v>
      </c>
      <c r="I261" s="2">
        <f t="shared" si="28"/>
        <v>0</v>
      </c>
      <c r="J261" s="2">
        <f xml:space="preserve"> Table1[[#This Row],[Diesel (R)]]</f>
        <v>24.49</v>
      </c>
      <c r="K261" t="str">
        <f xml:space="preserve"> Table1[[#This Row],[Diesel (R) Budget]]</f>
        <v>24.56</v>
      </c>
      <c r="L261" s="2">
        <v>24.49</v>
      </c>
      <c r="M261" t="s">
        <v>529</v>
      </c>
    </row>
    <row r="262" spans="1:13" x14ac:dyDescent="0.3">
      <c r="C262" s="2">
        <f t="shared" si="24"/>
        <v>0</v>
      </c>
      <c r="E262" s="2">
        <f t="shared" si="25"/>
        <v>0</v>
      </c>
      <c r="F262" s="2">
        <f t="shared" si="26"/>
        <v>0</v>
      </c>
      <c r="G262" s="2">
        <f t="shared" si="27"/>
        <v>0</v>
      </c>
      <c r="I262" s="2">
        <f t="shared" si="28"/>
        <v>0</v>
      </c>
      <c r="J262" s="2">
        <f xml:space="preserve"> Table1[[#This Row],[Diesel (R)]]</f>
        <v>22.18</v>
      </c>
      <c r="K262" t="str">
        <f xml:space="preserve"> Table1[[#This Row],[Diesel (R) Budget]]</f>
        <v>20.61</v>
      </c>
      <c r="L262" s="2">
        <v>22.18</v>
      </c>
      <c r="M262" t="s">
        <v>384</v>
      </c>
    </row>
    <row r="263" spans="1:13" x14ac:dyDescent="0.3">
      <c r="C263" s="2">
        <f t="shared" si="24"/>
        <v>0</v>
      </c>
      <c r="E263" s="2">
        <f t="shared" si="25"/>
        <v>0</v>
      </c>
      <c r="F263" s="2">
        <f t="shared" si="26"/>
        <v>0</v>
      </c>
      <c r="G263" s="2">
        <f t="shared" si="27"/>
        <v>0</v>
      </c>
      <c r="I263" s="2">
        <f t="shared" si="28"/>
        <v>0</v>
      </c>
      <c r="J263" s="2">
        <f xml:space="preserve"> Table1[[#This Row],[Diesel (R)]]</f>
        <v>19.809999999999999</v>
      </c>
      <c r="K263" t="str">
        <f xml:space="preserve"> Table1[[#This Row],[Diesel (R) Budget]]</f>
        <v>19.79</v>
      </c>
      <c r="L263" s="2">
        <v>19.809999999999999</v>
      </c>
      <c r="M263" t="s">
        <v>530</v>
      </c>
    </row>
    <row r="264" spans="1:13" x14ac:dyDescent="0.3">
      <c r="C264" s="2">
        <f t="shared" si="24"/>
        <v>0</v>
      </c>
      <c r="E264" s="2">
        <f t="shared" si="25"/>
        <v>0</v>
      </c>
      <c r="F264" s="2">
        <f t="shared" si="26"/>
        <v>0</v>
      </c>
      <c r="G264" s="2">
        <f t="shared" si="27"/>
        <v>0</v>
      </c>
      <c r="I264" s="2">
        <f t="shared" si="28"/>
        <v>0</v>
      </c>
      <c r="J264" s="2">
        <f xml:space="preserve"> Table1[[#This Row],[Diesel (R)]]</f>
        <v>18.760000000000002</v>
      </c>
      <c r="K264" t="str">
        <f xml:space="preserve"> Table1[[#This Row],[Diesel (R) Budget]]</f>
        <v>23.44</v>
      </c>
      <c r="L264" s="2">
        <v>18.760000000000002</v>
      </c>
      <c r="M264" t="s">
        <v>389</v>
      </c>
    </row>
    <row r="265" spans="1:13" x14ac:dyDescent="0.3">
      <c r="C265" s="2">
        <f t="shared" si="24"/>
        <v>0</v>
      </c>
      <c r="E265" s="2">
        <f t="shared" si="25"/>
        <v>0</v>
      </c>
      <c r="F265" s="2">
        <f t="shared" si="26"/>
        <v>0</v>
      </c>
      <c r="G265" s="2">
        <f t="shared" si="27"/>
        <v>0</v>
      </c>
      <c r="I265" s="2">
        <f t="shared" si="28"/>
        <v>0</v>
      </c>
      <c r="J265" s="2">
        <f xml:space="preserve"> Table1[[#This Row],[Diesel (R)]]</f>
        <v>23.89</v>
      </c>
      <c r="K265" t="str">
        <f xml:space="preserve"> Table1[[#This Row],[Diesel (R) Budget]]</f>
        <v>21.57</v>
      </c>
      <c r="L265" s="2">
        <v>23.89</v>
      </c>
      <c r="M265" t="s">
        <v>531</v>
      </c>
    </row>
    <row r="266" spans="1:13" x14ac:dyDescent="0.3">
      <c r="C266" s="2">
        <f t="shared" si="24"/>
        <v>0</v>
      </c>
      <c r="E266" s="2">
        <f t="shared" si="25"/>
        <v>0</v>
      </c>
      <c r="F266" s="2">
        <f t="shared" si="26"/>
        <v>0</v>
      </c>
      <c r="G266" s="2">
        <f t="shared" si="27"/>
        <v>0</v>
      </c>
      <c r="I266" s="2">
        <f t="shared" si="28"/>
        <v>0</v>
      </c>
      <c r="J266" s="2">
        <f xml:space="preserve"> Table1[[#This Row],[Diesel (R)]]</f>
        <v>21.63</v>
      </c>
      <c r="K266" t="str">
        <f xml:space="preserve"> Table1[[#This Row],[Diesel (R) Budget]]</f>
        <v>18.59</v>
      </c>
      <c r="L266" s="2">
        <v>21.63</v>
      </c>
      <c r="M266" t="s">
        <v>532</v>
      </c>
    </row>
    <row r="267" spans="1:13" x14ac:dyDescent="0.3">
      <c r="C267" s="2">
        <f t="shared" si="24"/>
        <v>0</v>
      </c>
      <c r="E267" s="2">
        <f t="shared" si="25"/>
        <v>0</v>
      </c>
      <c r="F267" s="2">
        <f t="shared" si="26"/>
        <v>0</v>
      </c>
      <c r="G267" s="2">
        <f t="shared" si="27"/>
        <v>0</v>
      </c>
      <c r="I267" s="2">
        <f t="shared" si="28"/>
        <v>0</v>
      </c>
      <c r="J267" s="2">
        <f xml:space="preserve"> Table1[[#This Row],[Diesel (R)]]</f>
        <v>20.260000000000002</v>
      </c>
      <c r="K267" t="str">
        <f xml:space="preserve"> Table1[[#This Row],[Diesel (R) Budget]]</f>
        <v>24.28</v>
      </c>
      <c r="L267" s="2">
        <v>20.260000000000002</v>
      </c>
      <c r="M267" t="s">
        <v>398</v>
      </c>
    </row>
    <row r="268" spans="1:13" x14ac:dyDescent="0.3">
      <c r="C268" s="2">
        <f t="shared" si="24"/>
        <v>0</v>
      </c>
      <c r="E268" s="2">
        <f t="shared" si="25"/>
        <v>0</v>
      </c>
      <c r="F268" s="2">
        <f t="shared" si="26"/>
        <v>0</v>
      </c>
      <c r="G268" s="2">
        <f t="shared" si="27"/>
        <v>0</v>
      </c>
      <c r="I268" s="2">
        <f t="shared" si="28"/>
        <v>0</v>
      </c>
      <c r="J268" s="2">
        <f xml:space="preserve"> Table1[[#This Row],[Diesel (R)]]</f>
        <v>24.33</v>
      </c>
      <c r="K268" t="str">
        <f xml:space="preserve"> Table1[[#This Row],[Diesel (R) Budget]]</f>
        <v>19.48</v>
      </c>
      <c r="L268" s="2">
        <v>24.33</v>
      </c>
      <c r="M268" t="s">
        <v>365</v>
      </c>
    </row>
    <row r="269" spans="1:13" x14ac:dyDescent="0.3">
      <c r="C269" s="2">
        <f t="shared" si="24"/>
        <v>0</v>
      </c>
      <c r="E269" s="2">
        <f t="shared" si="25"/>
        <v>0</v>
      </c>
      <c r="F269" s="2">
        <f t="shared" si="26"/>
        <v>0</v>
      </c>
      <c r="G269" s="2">
        <f t="shared" si="27"/>
        <v>0</v>
      </c>
      <c r="I269" s="2">
        <f t="shared" si="28"/>
        <v>0</v>
      </c>
      <c r="J269" s="2">
        <f xml:space="preserve"> Table1[[#This Row],[Diesel (R)]]</f>
        <v>22.51</v>
      </c>
      <c r="K269" t="str">
        <f xml:space="preserve"> Table1[[#This Row],[Diesel (R) Budget]]</f>
        <v>22.82</v>
      </c>
      <c r="L269" s="2">
        <v>22.51</v>
      </c>
      <c r="M269" t="s">
        <v>533</v>
      </c>
    </row>
    <row r="270" spans="1:13" x14ac:dyDescent="0.3">
      <c r="C270" s="2">
        <f t="shared" si="24"/>
        <v>0</v>
      </c>
      <c r="E270" s="2">
        <f t="shared" si="25"/>
        <v>0</v>
      </c>
      <c r="F270" s="2">
        <f t="shared" si="26"/>
        <v>0</v>
      </c>
      <c r="G270" s="2">
        <f t="shared" si="27"/>
        <v>0</v>
      </c>
      <c r="I270" s="2">
        <f t="shared" si="28"/>
        <v>0</v>
      </c>
      <c r="J270" s="2">
        <f xml:space="preserve"> Table1[[#This Row],[Diesel (R)]]</f>
        <v>19.93</v>
      </c>
      <c r="K270" t="str">
        <f xml:space="preserve"> Table1[[#This Row],[Diesel (R) Budget]]</f>
        <v>21.25</v>
      </c>
      <c r="L270" s="2">
        <v>19.93</v>
      </c>
      <c r="M270" t="s">
        <v>534</v>
      </c>
    </row>
    <row r="271" spans="1:13" x14ac:dyDescent="0.3">
      <c r="C271" s="2">
        <f t="shared" si="24"/>
        <v>0</v>
      </c>
      <c r="E271" s="2">
        <f t="shared" si="25"/>
        <v>0</v>
      </c>
      <c r="F271" s="2">
        <f t="shared" si="26"/>
        <v>0</v>
      </c>
      <c r="G271" s="2">
        <f t="shared" si="27"/>
        <v>0</v>
      </c>
      <c r="I271" s="2">
        <f t="shared" si="28"/>
        <v>0</v>
      </c>
      <c r="J271" s="2">
        <f xml:space="preserve"> Table1[[#This Row],[Diesel (R)]]</f>
        <v>18.579999999999998</v>
      </c>
      <c r="K271" t="str">
        <f xml:space="preserve"> Table1[[#This Row],[Diesel (R) Budget]]</f>
        <v>23.74</v>
      </c>
      <c r="L271" s="2">
        <v>18.579999999999998</v>
      </c>
      <c r="M271" t="s">
        <v>375</v>
      </c>
    </row>
    <row r="272" spans="1:13" x14ac:dyDescent="0.3">
      <c r="C272" s="2">
        <f t="shared" ref="C272:C303" si="29">B272*0.2</f>
        <v>0</v>
      </c>
      <c r="E272" s="2">
        <f t="shared" ref="E272:E303" si="30">D272*0.3</f>
        <v>0</v>
      </c>
      <c r="F272" s="2">
        <f t="shared" ref="F272:F303" si="31">D272/4</f>
        <v>0</v>
      </c>
      <c r="G272" s="2">
        <f t="shared" ref="G272:G303" si="32">F272*0.2</f>
        <v>0</v>
      </c>
      <c r="I272" s="2">
        <f t="shared" ref="I272:I303" si="33">H272*0.5</f>
        <v>0</v>
      </c>
      <c r="J272" s="2">
        <f xml:space="preserve"> Table1[[#This Row],[Diesel (R)]]</f>
        <v>0</v>
      </c>
      <c r="K272" t="str">
        <f xml:space="preserve"> Table1[[#This Row],[Diesel (R) Budget]]</f>
        <v>17.83</v>
      </c>
      <c r="M272" t="s">
        <v>535</v>
      </c>
    </row>
    <row r="273" spans="3:13" x14ac:dyDescent="0.3">
      <c r="C273" s="2">
        <f t="shared" si="29"/>
        <v>0</v>
      </c>
      <c r="E273" s="2">
        <f t="shared" si="30"/>
        <v>0</v>
      </c>
      <c r="F273" s="2">
        <f t="shared" si="31"/>
        <v>0</v>
      </c>
      <c r="G273" s="2">
        <f t="shared" si="32"/>
        <v>0</v>
      </c>
      <c r="I273" s="2">
        <f t="shared" si="33"/>
        <v>0</v>
      </c>
      <c r="J273" s="2">
        <f xml:space="preserve"> Table1[[#This Row],[Diesel (R)]]</f>
        <v>0</v>
      </c>
      <c r="K273" t="str">
        <f xml:space="preserve"> Table1[[#This Row],[Diesel (R) Budget]]</f>
        <v>24.19</v>
      </c>
      <c r="M273" t="s">
        <v>403</v>
      </c>
    </row>
    <row r="274" spans="3:13" x14ac:dyDescent="0.3">
      <c r="C274" s="2">
        <f t="shared" si="29"/>
        <v>0</v>
      </c>
      <c r="E274" s="2">
        <f t="shared" si="30"/>
        <v>0</v>
      </c>
      <c r="F274" s="2">
        <f t="shared" si="31"/>
        <v>0</v>
      </c>
      <c r="G274" s="2">
        <f t="shared" si="32"/>
        <v>0</v>
      </c>
      <c r="I274" s="2">
        <f t="shared" si="33"/>
        <v>0</v>
      </c>
      <c r="J274" s="2">
        <f xml:space="preserve"> Table1[[#This Row],[Diesel (R)]]</f>
        <v>0</v>
      </c>
      <c r="K274" t="str">
        <f xml:space="preserve"> Table1[[#This Row],[Diesel (R) Budget]]</f>
        <v>20.89</v>
      </c>
      <c r="M274" t="s">
        <v>332</v>
      </c>
    </row>
    <row r="275" spans="3:13" x14ac:dyDescent="0.3">
      <c r="C275" s="2">
        <f t="shared" si="29"/>
        <v>0</v>
      </c>
      <c r="E275" s="2">
        <f t="shared" si="30"/>
        <v>0</v>
      </c>
      <c r="F275" s="2">
        <f t="shared" si="31"/>
        <v>0</v>
      </c>
      <c r="G275" s="2">
        <f t="shared" si="32"/>
        <v>0</v>
      </c>
      <c r="I275" s="2">
        <f t="shared" si="33"/>
        <v>0</v>
      </c>
      <c r="J275" s="2">
        <f xml:space="preserve"> Table1[[#This Row],[Diesel (R)]]</f>
        <v>0</v>
      </c>
      <c r="K275" t="str">
        <f xml:space="preserve"> Table1[[#This Row],[Diesel (R) Budget]]</f>
        <v>19.21</v>
      </c>
      <c r="M275" t="s">
        <v>372</v>
      </c>
    </row>
    <row r="276" spans="3:13" x14ac:dyDescent="0.3">
      <c r="C276" s="2">
        <f t="shared" si="29"/>
        <v>0</v>
      </c>
      <c r="E276" s="2">
        <f t="shared" si="30"/>
        <v>0</v>
      </c>
      <c r="F276" s="2">
        <f t="shared" si="31"/>
        <v>0</v>
      </c>
      <c r="G276" s="2">
        <f t="shared" si="32"/>
        <v>0</v>
      </c>
      <c r="I276" s="2">
        <f t="shared" si="33"/>
        <v>0</v>
      </c>
      <c r="J276" s="2">
        <f xml:space="preserve"> Table1[[#This Row],[Diesel (R)]]</f>
        <v>0</v>
      </c>
      <c r="K276" t="str">
        <f xml:space="preserve"> Table1[[#This Row],[Diesel (R) Budget]]</f>
        <v>23.31</v>
      </c>
      <c r="M276" t="s">
        <v>536</v>
      </c>
    </row>
    <row r="277" spans="3:13" x14ac:dyDescent="0.3">
      <c r="C277" s="2">
        <f t="shared" si="29"/>
        <v>0</v>
      </c>
      <c r="E277" s="2">
        <f t="shared" si="30"/>
        <v>0</v>
      </c>
      <c r="F277" s="2">
        <f t="shared" si="31"/>
        <v>0</v>
      </c>
      <c r="G277" s="2">
        <f t="shared" si="32"/>
        <v>0</v>
      </c>
      <c r="I277" s="2">
        <f t="shared" si="33"/>
        <v>0</v>
      </c>
      <c r="J277" s="2">
        <f xml:space="preserve"> Table1[[#This Row],[Diesel (R)]]</f>
        <v>0</v>
      </c>
      <c r="K277" t="str">
        <f xml:space="preserve"> Table1[[#This Row],[Diesel (R) Budget]]</f>
        <v>21.94</v>
      </c>
      <c r="M277" t="s">
        <v>400</v>
      </c>
    </row>
    <row r="278" spans="3:13" x14ac:dyDescent="0.3">
      <c r="C278" s="2">
        <f t="shared" si="29"/>
        <v>0</v>
      </c>
      <c r="E278" s="2">
        <f t="shared" si="30"/>
        <v>0</v>
      </c>
      <c r="F278" s="2">
        <f t="shared" si="31"/>
        <v>0</v>
      </c>
      <c r="G278" s="2">
        <f t="shared" si="32"/>
        <v>0</v>
      </c>
      <c r="I278" s="2">
        <f t="shared" si="33"/>
        <v>0</v>
      </c>
      <c r="J278" s="2">
        <f xml:space="preserve"> Table1[[#This Row],[Diesel (R)]]</f>
        <v>0</v>
      </c>
      <c r="K278" t="str">
        <f xml:space="preserve"> Table1[[#This Row],[Diesel (R) Budget]]</f>
        <v>18.33</v>
      </c>
      <c r="M278" t="s">
        <v>537</v>
      </c>
    </row>
    <row r="279" spans="3:13" x14ac:dyDescent="0.3">
      <c r="C279" s="2">
        <f t="shared" si="29"/>
        <v>0</v>
      </c>
      <c r="E279" s="2">
        <f t="shared" si="30"/>
        <v>0</v>
      </c>
      <c r="F279" s="2">
        <f t="shared" si="31"/>
        <v>0</v>
      </c>
      <c r="G279" s="2">
        <f t="shared" si="32"/>
        <v>0</v>
      </c>
      <c r="I279" s="2">
        <f t="shared" si="33"/>
        <v>0</v>
      </c>
      <c r="J279" s="2">
        <f xml:space="preserve"> Table1[[#This Row],[Diesel (R)]]</f>
        <v>0</v>
      </c>
      <c r="K279" t="str">
        <f xml:space="preserve"> Table1[[#This Row],[Diesel (R) Budget]]</f>
        <v>24.51</v>
      </c>
      <c r="M279" t="s">
        <v>286</v>
      </c>
    </row>
    <row r="280" spans="3:13" x14ac:dyDescent="0.3">
      <c r="C280" s="2">
        <f t="shared" si="29"/>
        <v>0</v>
      </c>
      <c r="E280" s="2">
        <f t="shared" si="30"/>
        <v>0</v>
      </c>
      <c r="F280" s="2">
        <f t="shared" si="31"/>
        <v>0</v>
      </c>
      <c r="G280" s="2">
        <f t="shared" si="32"/>
        <v>0</v>
      </c>
      <c r="I280" s="2">
        <f t="shared" si="33"/>
        <v>0</v>
      </c>
      <c r="J280" s="2">
        <f xml:space="preserve"> Table1[[#This Row],[Diesel (R)]]</f>
        <v>0</v>
      </c>
      <c r="K280" t="str">
        <f xml:space="preserve"> Table1[[#This Row],[Diesel (R) Budget]]</f>
        <v>19.32</v>
      </c>
      <c r="M280" t="s">
        <v>538</v>
      </c>
    </row>
    <row r="281" spans="3:13" x14ac:dyDescent="0.3">
      <c r="C281" s="2">
        <f t="shared" si="29"/>
        <v>0</v>
      </c>
      <c r="E281" s="2">
        <f t="shared" si="30"/>
        <v>0</v>
      </c>
      <c r="F281" s="2">
        <f t="shared" si="31"/>
        <v>0</v>
      </c>
      <c r="G281" s="2">
        <f t="shared" si="32"/>
        <v>0</v>
      </c>
      <c r="I281" s="2">
        <f t="shared" si="33"/>
        <v>0</v>
      </c>
      <c r="J281" s="2">
        <f xml:space="preserve"> Table1[[#This Row],[Diesel (R)]]</f>
        <v>0</v>
      </c>
      <c r="K281" t="str">
        <f xml:space="preserve"> Table1[[#This Row],[Diesel (R) Budget]]</f>
        <v>22.99</v>
      </c>
      <c r="M281" t="s">
        <v>539</v>
      </c>
    </row>
    <row r="282" spans="3:13" x14ac:dyDescent="0.3">
      <c r="C282" s="2">
        <f t="shared" si="29"/>
        <v>0</v>
      </c>
      <c r="E282" s="2">
        <f t="shared" si="30"/>
        <v>0</v>
      </c>
      <c r="F282" s="2">
        <f t="shared" si="31"/>
        <v>0</v>
      </c>
      <c r="G282" s="2">
        <f t="shared" si="32"/>
        <v>0</v>
      </c>
      <c r="I282" s="2">
        <f t="shared" si="33"/>
        <v>0</v>
      </c>
      <c r="J282" s="2">
        <f xml:space="preserve"> Table1[[#This Row],[Diesel (R)]]</f>
        <v>0</v>
      </c>
      <c r="K282" t="str">
        <f xml:space="preserve"> Table1[[#This Row],[Diesel (R) Budget]]</f>
        <v>21.43</v>
      </c>
      <c r="M282" t="s">
        <v>540</v>
      </c>
    </row>
    <row r="283" spans="3:13" x14ac:dyDescent="0.3">
      <c r="C283" s="2">
        <f t="shared" si="29"/>
        <v>0</v>
      </c>
      <c r="E283" s="2">
        <f t="shared" si="30"/>
        <v>0</v>
      </c>
      <c r="F283" s="2">
        <f t="shared" si="31"/>
        <v>0</v>
      </c>
      <c r="G283" s="2">
        <f t="shared" si="32"/>
        <v>0</v>
      </c>
      <c r="I283" s="2">
        <f t="shared" si="33"/>
        <v>0</v>
      </c>
      <c r="J283" s="2">
        <f xml:space="preserve"> Table1[[#This Row],[Diesel (R)]]</f>
        <v>0</v>
      </c>
      <c r="K283" t="str">
        <f xml:space="preserve"> Table1[[#This Row],[Diesel (R) Budget]]</f>
        <v>23.38</v>
      </c>
      <c r="M283" t="s">
        <v>541</v>
      </c>
    </row>
    <row r="284" spans="3:13" x14ac:dyDescent="0.3">
      <c r="C284" s="2">
        <f t="shared" si="29"/>
        <v>0</v>
      </c>
      <c r="E284" s="2">
        <f t="shared" si="30"/>
        <v>0</v>
      </c>
      <c r="F284" s="2">
        <f t="shared" si="31"/>
        <v>0</v>
      </c>
      <c r="G284" s="2">
        <f t="shared" si="32"/>
        <v>0</v>
      </c>
      <c r="I284" s="2">
        <f t="shared" si="33"/>
        <v>0</v>
      </c>
      <c r="J284" s="2">
        <f xml:space="preserve"> Table1[[#This Row],[Diesel (R)]]</f>
        <v>0</v>
      </c>
      <c r="K284" t="str">
        <f xml:space="preserve"> Table1[[#This Row],[Diesel (R) Budget]]</f>
        <v>17.76</v>
      </c>
      <c r="M284" t="s">
        <v>542</v>
      </c>
    </row>
    <row r="285" spans="3:13" x14ac:dyDescent="0.3">
      <c r="C285" s="2">
        <f t="shared" si="29"/>
        <v>0</v>
      </c>
      <c r="E285" s="2">
        <f t="shared" si="30"/>
        <v>0</v>
      </c>
      <c r="F285" s="2">
        <f t="shared" si="31"/>
        <v>0</v>
      </c>
      <c r="G285" s="2">
        <f t="shared" si="32"/>
        <v>0</v>
      </c>
      <c r="I285" s="2">
        <f t="shared" si="33"/>
        <v>0</v>
      </c>
      <c r="J285" s="2">
        <f xml:space="preserve"> Table1[[#This Row],[Diesel (R)]]</f>
        <v>0</v>
      </c>
      <c r="K285" t="str">
        <f xml:space="preserve"> Table1[[#This Row],[Diesel (R) Budget]]</f>
        <v>24.74</v>
      </c>
      <c r="M285" t="s">
        <v>543</v>
      </c>
    </row>
    <row r="286" spans="3:13" x14ac:dyDescent="0.3">
      <c r="C286" s="2">
        <f t="shared" si="29"/>
        <v>0</v>
      </c>
      <c r="E286" s="2">
        <f t="shared" si="30"/>
        <v>0</v>
      </c>
      <c r="F286" s="2">
        <f t="shared" si="31"/>
        <v>0</v>
      </c>
      <c r="G286" s="2">
        <f t="shared" si="32"/>
        <v>0</v>
      </c>
      <c r="I286" s="2">
        <f t="shared" si="33"/>
        <v>0</v>
      </c>
      <c r="J286" s="2">
        <f xml:space="preserve"> Table1[[#This Row],[Diesel (R)]]</f>
        <v>0</v>
      </c>
      <c r="K286" t="str">
        <f xml:space="preserve"> Table1[[#This Row],[Diesel (R) Budget]]</f>
        <v>20.47</v>
      </c>
      <c r="M286" t="s">
        <v>292</v>
      </c>
    </row>
    <row r="287" spans="3:13" x14ac:dyDescent="0.3">
      <c r="C287" s="2">
        <f t="shared" si="29"/>
        <v>0</v>
      </c>
      <c r="E287" s="2">
        <f t="shared" si="30"/>
        <v>0</v>
      </c>
      <c r="F287" s="2">
        <f t="shared" si="31"/>
        <v>0</v>
      </c>
      <c r="G287" s="2">
        <f t="shared" si="32"/>
        <v>0</v>
      </c>
      <c r="I287" s="2">
        <f t="shared" si="33"/>
        <v>0</v>
      </c>
      <c r="J287" s="2">
        <f xml:space="preserve"> Table1[[#This Row],[Diesel (R)]]</f>
        <v>0</v>
      </c>
      <c r="K287" t="str">
        <f xml:space="preserve"> Table1[[#This Row],[Diesel (R) Budget]]</f>
        <v>19.87</v>
      </c>
      <c r="M287" t="s">
        <v>544</v>
      </c>
    </row>
    <row r="288" spans="3:13" x14ac:dyDescent="0.3">
      <c r="C288" s="2">
        <f t="shared" si="29"/>
        <v>0</v>
      </c>
      <c r="E288" s="2">
        <f t="shared" si="30"/>
        <v>0</v>
      </c>
      <c r="F288" s="2">
        <f t="shared" si="31"/>
        <v>0</v>
      </c>
      <c r="G288" s="2">
        <f t="shared" si="32"/>
        <v>0</v>
      </c>
      <c r="I288" s="2">
        <f t="shared" si="33"/>
        <v>0</v>
      </c>
      <c r="J288" s="2">
        <f xml:space="preserve"> Table1[[#This Row],[Diesel (R)]]</f>
        <v>0</v>
      </c>
      <c r="K288" t="str">
        <f xml:space="preserve"> Table1[[#This Row],[Diesel (R) Budget]]</f>
        <v>23.62</v>
      </c>
      <c r="M288" t="s">
        <v>435</v>
      </c>
    </row>
    <row r="289" spans="3:13" x14ac:dyDescent="0.3">
      <c r="C289" s="2">
        <f t="shared" si="29"/>
        <v>0</v>
      </c>
      <c r="E289" s="2">
        <f t="shared" si="30"/>
        <v>0</v>
      </c>
      <c r="F289" s="2">
        <f t="shared" si="31"/>
        <v>0</v>
      </c>
      <c r="G289" s="2">
        <f t="shared" si="32"/>
        <v>0</v>
      </c>
      <c r="I289" s="2">
        <f t="shared" si="33"/>
        <v>0</v>
      </c>
      <c r="J289" s="2">
        <f xml:space="preserve"> Table1[[#This Row],[Diesel (R)]]</f>
        <v>0</v>
      </c>
      <c r="K289" t="str">
        <f xml:space="preserve"> Table1[[#This Row],[Diesel (R) Budget]]</f>
        <v>21.11</v>
      </c>
      <c r="M289" t="s">
        <v>346</v>
      </c>
    </row>
    <row r="290" spans="3:13" x14ac:dyDescent="0.3">
      <c r="C290" s="2">
        <f t="shared" si="29"/>
        <v>0</v>
      </c>
      <c r="E290" s="2">
        <f t="shared" si="30"/>
        <v>0</v>
      </c>
      <c r="F290" s="2">
        <f t="shared" si="31"/>
        <v>0</v>
      </c>
      <c r="G290" s="2">
        <f t="shared" si="32"/>
        <v>0</v>
      </c>
      <c r="I290" s="2">
        <f t="shared" si="33"/>
        <v>0</v>
      </c>
      <c r="J290" s="2">
        <f xml:space="preserve"> Table1[[#This Row],[Diesel (R)]]</f>
        <v>0</v>
      </c>
      <c r="K290" t="str">
        <f xml:space="preserve"> Table1[[#This Row],[Diesel (R) Budget]]</f>
        <v>18.98</v>
      </c>
      <c r="M290" t="s">
        <v>545</v>
      </c>
    </row>
    <row r="291" spans="3:13" x14ac:dyDescent="0.3">
      <c r="C291" s="2">
        <f t="shared" si="29"/>
        <v>0</v>
      </c>
      <c r="E291" s="2">
        <f t="shared" si="30"/>
        <v>0</v>
      </c>
      <c r="F291" s="2">
        <f t="shared" si="31"/>
        <v>0</v>
      </c>
      <c r="G291" s="2">
        <f t="shared" si="32"/>
        <v>0</v>
      </c>
      <c r="I291" s="2">
        <f t="shared" si="33"/>
        <v>0</v>
      </c>
      <c r="J291" s="2">
        <f xml:space="preserve"> Table1[[#This Row],[Diesel (R)]]</f>
        <v>0</v>
      </c>
      <c r="K291" t="str">
        <f xml:space="preserve"> Table1[[#This Row],[Diesel (R) Budget]]</f>
        <v>24.35</v>
      </c>
      <c r="M291" t="s">
        <v>546</v>
      </c>
    </row>
    <row r="292" spans="3:13" x14ac:dyDescent="0.3">
      <c r="C292" s="2">
        <f t="shared" si="29"/>
        <v>0</v>
      </c>
      <c r="E292" s="2">
        <f t="shared" si="30"/>
        <v>0</v>
      </c>
      <c r="F292" s="2">
        <f t="shared" si="31"/>
        <v>0</v>
      </c>
      <c r="G292" s="2">
        <f t="shared" si="32"/>
        <v>0</v>
      </c>
      <c r="I292" s="2">
        <f t="shared" si="33"/>
        <v>0</v>
      </c>
      <c r="J292" s="2">
        <f xml:space="preserve"> Table1[[#This Row],[Diesel (R)]]</f>
        <v>0</v>
      </c>
      <c r="K292" t="str">
        <f xml:space="preserve"> Table1[[#This Row],[Diesel (R) Budget]]</f>
        <v>19.71</v>
      </c>
      <c r="M292" t="s">
        <v>312</v>
      </c>
    </row>
    <row r="293" spans="3:13" x14ac:dyDescent="0.3">
      <c r="C293" s="2">
        <f t="shared" si="29"/>
        <v>0</v>
      </c>
      <c r="E293" s="2">
        <f t="shared" si="30"/>
        <v>0</v>
      </c>
      <c r="F293" s="2">
        <f t="shared" si="31"/>
        <v>0</v>
      </c>
      <c r="G293" s="2">
        <f t="shared" si="32"/>
        <v>0</v>
      </c>
      <c r="I293" s="2">
        <f t="shared" si="33"/>
        <v>0</v>
      </c>
      <c r="J293" s="2">
        <f xml:space="preserve"> Table1[[#This Row],[Diesel (R)]]</f>
        <v>0</v>
      </c>
      <c r="K293" t="str">
        <f xml:space="preserve"> Table1[[#This Row],[Diesel (R) Budget]]</f>
        <v>22.28</v>
      </c>
      <c r="M293" t="s">
        <v>547</v>
      </c>
    </row>
    <row r="294" spans="3:13" x14ac:dyDescent="0.3">
      <c r="C294" s="2">
        <f t="shared" si="29"/>
        <v>0</v>
      </c>
      <c r="E294" s="2">
        <f t="shared" si="30"/>
        <v>0</v>
      </c>
      <c r="F294" s="2">
        <f t="shared" si="31"/>
        <v>0</v>
      </c>
      <c r="G294" s="2">
        <f t="shared" si="32"/>
        <v>0</v>
      </c>
      <c r="I294" s="2">
        <f t="shared" si="33"/>
        <v>0</v>
      </c>
      <c r="J294" s="2">
        <f xml:space="preserve"> Table1[[#This Row],[Diesel (R)]]</f>
        <v>0</v>
      </c>
      <c r="K294" t="str">
        <f xml:space="preserve"> Table1[[#This Row],[Diesel (R) Budget]]</f>
        <v>21.79</v>
      </c>
      <c r="M294" t="s">
        <v>548</v>
      </c>
    </row>
    <row r="295" spans="3:13" x14ac:dyDescent="0.3">
      <c r="C295" s="2">
        <f t="shared" si="29"/>
        <v>0</v>
      </c>
      <c r="E295" s="2">
        <f t="shared" si="30"/>
        <v>0</v>
      </c>
      <c r="F295" s="2">
        <f t="shared" si="31"/>
        <v>0</v>
      </c>
      <c r="G295" s="2">
        <f t="shared" si="32"/>
        <v>0</v>
      </c>
      <c r="I295" s="2">
        <f t="shared" si="33"/>
        <v>0</v>
      </c>
      <c r="J295" s="2">
        <f xml:space="preserve"> Table1[[#This Row],[Diesel (R)]]</f>
        <v>0</v>
      </c>
      <c r="K295" t="str">
        <f xml:space="preserve"> Table1[[#This Row],[Diesel (R) Budget]]</f>
        <v>23.53</v>
      </c>
      <c r="M295" t="s">
        <v>342</v>
      </c>
    </row>
    <row r="296" spans="3:13" x14ac:dyDescent="0.3">
      <c r="C296" s="2">
        <f t="shared" si="29"/>
        <v>0</v>
      </c>
      <c r="E296" s="2">
        <f t="shared" si="30"/>
        <v>0</v>
      </c>
      <c r="F296" s="2">
        <f t="shared" si="31"/>
        <v>0</v>
      </c>
      <c r="G296" s="2">
        <f t="shared" si="32"/>
        <v>0</v>
      </c>
      <c r="I296" s="2">
        <f t="shared" si="33"/>
        <v>0</v>
      </c>
      <c r="J296" s="2">
        <f xml:space="preserve"> Table1[[#This Row],[Diesel (R)]]</f>
        <v>0</v>
      </c>
      <c r="K296" t="str">
        <f xml:space="preserve"> Table1[[#This Row],[Diesel (R) Budget]]</f>
        <v>17.92</v>
      </c>
      <c r="M296" t="s">
        <v>549</v>
      </c>
    </row>
    <row r="297" spans="3:13" x14ac:dyDescent="0.3">
      <c r="C297" s="2">
        <f t="shared" si="29"/>
        <v>0</v>
      </c>
      <c r="E297" s="2">
        <f t="shared" si="30"/>
        <v>0</v>
      </c>
      <c r="F297" s="2">
        <f t="shared" si="31"/>
        <v>0</v>
      </c>
      <c r="G297" s="2">
        <f t="shared" si="32"/>
        <v>0</v>
      </c>
      <c r="I297" s="2">
        <f t="shared" si="33"/>
        <v>0</v>
      </c>
      <c r="J297" s="2">
        <f xml:space="preserve"> Table1[[#This Row],[Diesel (R)]]</f>
        <v>0</v>
      </c>
      <c r="K297" t="str">
        <f xml:space="preserve"> Table1[[#This Row],[Diesel (R) Budget]]</f>
        <v>24.17</v>
      </c>
      <c r="M297" t="s">
        <v>550</v>
      </c>
    </row>
    <row r="298" spans="3:13" x14ac:dyDescent="0.3">
      <c r="C298" s="2">
        <f t="shared" si="29"/>
        <v>0</v>
      </c>
      <c r="E298" s="2">
        <f t="shared" si="30"/>
        <v>0</v>
      </c>
      <c r="F298" s="2">
        <f t="shared" si="31"/>
        <v>0</v>
      </c>
      <c r="G298" s="2">
        <f t="shared" si="32"/>
        <v>0</v>
      </c>
      <c r="I298" s="2">
        <f t="shared" si="33"/>
        <v>0</v>
      </c>
      <c r="J298" s="2">
        <f xml:space="preserve"> Table1[[#This Row],[Diesel (R)]]</f>
        <v>0</v>
      </c>
      <c r="K298" t="str">
        <f xml:space="preserve"> Table1[[#This Row],[Diesel (R) Budget]]</f>
        <v>20.16</v>
      </c>
      <c r="M298" t="s">
        <v>551</v>
      </c>
    </row>
    <row r="299" spans="3:13" x14ac:dyDescent="0.3">
      <c r="C299" s="2">
        <f t="shared" si="29"/>
        <v>0</v>
      </c>
      <c r="E299" s="2">
        <f t="shared" si="30"/>
        <v>0</v>
      </c>
      <c r="F299" s="2">
        <f t="shared" si="31"/>
        <v>0</v>
      </c>
      <c r="G299" s="2">
        <f t="shared" si="32"/>
        <v>0</v>
      </c>
      <c r="I299" s="2">
        <f t="shared" si="33"/>
        <v>0</v>
      </c>
      <c r="J299" s="2">
        <f xml:space="preserve"> Table1[[#This Row],[Diesel (R)]]</f>
        <v>0</v>
      </c>
      <c r="K299" t="str">
        <f xml:space="preserve"> Table1[[#This Row],[Diesel (R) Budget]]</f>
        <v>19.65</v>
      </c>
      <c r="M299" t="s">
        <v>552</v>
      </c>
    </row>
    <row r="300" spans="3:13" x14ac:dyDescent="0.3">
      <c r="C300" s="2">
        <f t="shared" si="29"/>
        <v>0</v>
      </c>
      <c r="E300" s="2">
        <f t="shared" si="30"/>
        <v>0</v>
      </c>
      <c r="F300" s="2">
        <f t="shared" si="31"/>
        <v>0</v>
      </c>
      <c r="G300" s="2">
        <f t="shared" si="32"/>
        <v>0</v>
      </c>
      <c r="I300" s="2">
        <f t="shared" si="33"/>
        <v>0</v>
      </c>
      <c r="J300" s="2">
        <f xml:space="preserve"> Table1[[#This Row],[Diesel (R)]]</f>
        <v>0</v>
      </c>
      <c r="K300" t="str">
        <f xml:space="preserve"> Table1[[#This Row],[Diesel (R) Budget]]</f>
        <v>23.89</v>
      </c>
      <c r="M300" t="s">
        <v>393</v>
      </c>
    </row>
    <row r="301" spans="3:13" x14ac:dyDescent="0.3">
      <c r="C301" s="2">
        <f t="shared" si="29"/>
        <v>0</v>
      </c>
      <c r="E301" s="2">
        <f t="shared" si="30"/>
        <v>0</v>
      </c>
      <c r="F301" s="2">
        <f t="shared" si="31"/>
        <v>0</v>
      </c>
      <c r="G301" s="2">
        <f t="shared" si="32"/>
        <v>0</v>
      </c>
      <c r="I301" s="2">
        <f t="shared" si="33"/>
        <v>0</v>
      </c>
      <c r="J301" s="2">
        <f xml:space="preserve"> Table1[[#This Row],[Diesel (R)]]</f>
        <v>0</v>
      </c>
      <c r="K301" t="str">
        <f xml:space="preserve"> Table1[[#This Row],[Diesel (R) Budget]]</f>
        <v>21.54</v>
      </c>
      <c r="M301" t="s">
        <v>553</v>
      </c>
    </row>
    <row r="302" spans="3:13" x14ac:dyDescent="0.3">
      <c r="C302" s="2">
        <f t="shared" si="29"/>
        <v>0</v>
      </c>
      <c r="E302" s="2">
        <f t="shared" si="30"/>
        <v>0</v>
      </c>
      <c r="F302" s="2">
        <f t="shared" si="31"/>
        <v>0</v>
      </c>
      <c r="G302" s="2">
        <f t="shared" si="32"/>
        <v>0</v>
      </c>
      <c r="I302" s="2">
        <f t="shared" si="33"/>
        <v>0</v>
      </c>
      <c r="J302" s="2">
        <f xml:space="preserve"> Table1[[#This Row],[Diesel (R)]]</f>
        <v>0</v>
      </c>
      <c r="K302" t="str">
        <f xml:space="preserve"> Table1[[#This Row],[Diesel (R) Budget]]</f>
        <v>18.46</v>
      </c>
      <c r="M302" t="s">
        <v>554</v>
      </c>
    </row>
    <row r="303" spans="3:13" x14ac:dyDescent="0.3">
      <c r="C303" s="2">
        <f t="shared" si="29"/>
        <v>0</v>
      </c>
      <c r="E303" s="2">
        <f t="shared" si="30"/>
        <v>0</v>
      </c>
      <c r="F303" s="2">
        <f t="shared" si="31"/>
        <v>0</v>
      </c>
      <c r="G303" s="2">
        <f t="shared" si="32"/>
        <v>0</v>
      </c>
      <c r="I303" s="2">
        <f t="shared" si="33"/>
        <v>0</v>
      </c>
      <c r="J303" s="2">
        <f xml:space="preserve"> Table1[[#This Row],[Diesel (R)]]</f>
        <v>0</v>
      </c>
      <c r="K303" t="str">
        <f xml:space="preserve"> Table1[[#This Row],[Diesel (R) Budget]]</f>
        <v>24.44</v>
      </c>
      <c r="M303" t="s">
        <v>297</v>
      </c>
    </row>
    <row r="304" spans="3:13" x14ac:dyDescent="0.3">
      <c r="C304" s="2">
        <f t="shared" ref="C304:C332" si="34">B304*0.2</f>
        <v>0</v>
      </c>
      <c r="E304" s="2">
        <f t="shared" ref="E304:E332" si="35">D304*0.3</f>
        <v>0</v>
      </c>
      <c r="F304" s="2">
        <f t="shared" ref="F304:F332" si="36">D304/4</f>
        <v>0</v>
      </c>
      <c r="G304" s="2">
        <f t="shared" ref="G304:G332" si="37">F304*0.2</f>
        <v>0</v>
      </c>
      <c r="I304" s="2">
        <f t="shared" ref="I304:I332" si="38">H304*0.5</f>
        <v>0</v>
      </c>
      <c r="J304" s="2">
        <f xml:space="preserve"> Table1[[#This Row],[Diesel (R)]]</f>
        <v>0</v>
      </c>
      <c r="K304" t="str">
        <f xml:space="preserve"> Table1[[#This Row],[Diesel (R) Budget]]</f>
        <v>19.29</v>
      </c>
      <c r="M304" t="s">
        <v>442</v>
      </c>
    </row>
    <row r="305" spans="3:13" x14ac:dyDescent="0.3">
      <c r="C305" s="2">
        <f t="shared" si="34"/>
        <v>0</v>
      </c>
      <c r="E305" s="2">
        <f t="shared" si="35"/>
        <v>0</v>
      </c>
      <c r="F305" s="2">
        <f t="shared" si="36"/>
        <v>0</v>
      </c>
      <c r="G305" s="2">
        <f t="shared" si="37"/>
        <v>0</v>
      </c>
      <c r="I305" s="2">
        <f t="shared" si="38"/>
        <v>0</v>
      </c>
      <c r="J305" s="2">
        <f xml:space="preserve"> Table1[[#This Row],[Diesel (R)]]</f>
        <v>0</v>
      </c>
      <c r="K305" t="str">
        <f xml:space="preserve"> Table1[[#This Row],[Diesel (R) Budget]]</f>
        <v>22.91</v>
      </c>
      <c r="M305" t="s">
        <v>316</v>
      </c>
    </row>
    <row r="306" spans="3:13" x14ac:dyDescent="0.3">
      <c r="C306" s="2">
        <f t="shared" si="34"/>
        <v>0</v>
      </c>
      <c r="E306" s="2">
        <f t="shared" si="35"/>
        <v>0</v>
      </c>
      <c r="F306" s="2">
        <f t="shared" si="36"/>
        <v>0</v>
      </c>
      <c r="G306" s="2">
        <f t="shared" si="37"/>
        <v>0</v>
      </c>
      <c r="I306" s="2">
        <f t="shared" si="38"/>
        <v>0</v>
      </c>
      <c r="J306" s="2">
        <f xml:space="preserve"> Table1[[#This Row],[Diesel (R)]]</f>
        <v>0</v>
      </c>
      <c r="K306" t="str">
        <f xml:space="preserve"> Table1[[#This Row],[Diesel (R) Budget]]</f>
        <v>21.05</v>
      </c>
      <c r="M306" t="s">
        <v>555</v>
      </c>
    </row>
    <row r="307" spans="3:13" x14ac:dyDescent="0.3">
      <c r="C307" s="2">
        <f t="shared" si="34"/>
        <v>0</v>
      </c>
      <c r="E307" s="2">
        <f t="shared" si="35"/>
        <v>0</v>
      </c>
      <c r="F307" s="2">
        <f t="shared" si="36"/>
        <v>0</v>
      </c>
      <c r="G307" s="2">
        <f t="shared" si="37"/>
        <v>0</v>
      </c>
      <c r="I307" s="2">
        <f t="shared" si="38"/>
        <v>0</v>
      </c>
      <c r="J307" s="2">
        <f xml:space="preserve"> Table1[[#This Row],[Diesel (R)]]</f>
        <v>0</v>
      </c>
      <c r="K307" t="str">
        <f xml:space="preserve"> Table1[[#This Row],[Diesel (R) Budget]]</f>
        <v>23.24</v>
      </c>
      <c r="M307" t="s">
        <v>556</v>
      </c>
    </row>
    <row r="308" spans="3:13" x14ac:dyDescent="0.3">
      <c r="C308" s="2">
        <f t="shared" si="34"/>
        <v>0</v>
      </c>
      <c r="E308" s="2">
        <f t="shared" si="35"/>
        <v>0</v>
      </c>
      <c r="F308" s="2">
        <f t="shared" si="36"/>
        <v>0</v>
      </c>
      <c r="G308" s="2">
        <f t="shared" si="37"/>
        <v>0</v>
      </c>
      <c r="I308" s="2">
        <f t="shared" si="38"/>
        <v>0</v>
      </c>
      <c r="J308" s="2">
        <f xml:space="preserve"> Table1[[#This Row],[Diesel (R)]]</f>
        <v>0</v>
      </c>
      <c r="K308" t="str">
        <f xml:space="preserve"> Table1[[#This Row],[Diesel (R) Budget]]</f>
        <v>17.63</v>
      </c>
      <c r="M308" t="s">
        <v>557</v>
      </c>
    </row>
    <row r="309" spans="3:13" x14ac:dyDescent="0.3">
      <c r="C309" s="2">
        <f t="shared" si="34"/>
        <v>0</v>
      </c>
      <c r="E309" s="2">
        <f t="shared" si="35"/>
        <v>0</v>
      </c>
      <c r="F309" s="2">
        <f t="shared" si="36"/>
        <v>0</v>
      </c>
      <c r="G309" s="2">
        <f t="shared" si="37"/>
        <v>0</v>
      </c>
      <c r="I309" s="2">
        <f t="shared" si="38"/>
        <v>0</v>
      </c>
      <c r="J309" s="2">
        <f xml:space="preserve"> Table1[[#This Row],[Diesel (R)]]</f>
        <v>0</v>
      </c>
      <c r="K309" t="str">
        <f xml:space="preserve"> Table1[[#This Row],[Diesel (R) Budget]]</f>
        <v>24.58</v>
      </c>
      <c r="M309" t="s">
        <v>558</v>
      </c>
    </row>
    <row r="310" spans="3:13" x14ac:dyDescent="0.3">
      <c r="C310" s="2">
        <f t="shared" si="34"/>
        <v>0</v>
      </c>
      <c r="E310" s="2">
        <f t="shared" si="35"/>
        <v>0</v>
      </c>
      <c r="F310" s="2">
        <f t="shared" si="36"/>
        <v>0</v>
      </c>
      <c r="G310" s="2">
        <f t="shared" si="37"/>
        <v>0</v>
      </c>
      <c r="I310" s="2">
        <f t="shared" si="38"/>
        <v>0</v>
      </c>
      <c r="J310" s="2">
        <f xml:space="preserve"> Table1[[#This Row],[Diesel (R)]]</f>
        <v>0</v>
      </c>
      <c r="K310" t="str">
        <f xml:space="preserve"> Table1[[#This Row],[Diesel (R) Budget]]</f>
        <v>20.72</v>
      </c>
      <c r="M310" t="s">
        <v>390</v>
      </c>
    </row>
    <row r="311" spans="3:13" x14ac:dyDescent="0.3">
      <c r="C311" s="2">
        <f t="shared" si="34"/>
        <v>0</v>
      </c>
      <c r="E311" s="2">
        <f t="shared" si="35"/>
        <v>0</v>
      </c>
      <c r="F311" s="2">
        <f t="shared" si="36"/>
        <v>0</v>
      </c>
      <c r="G311" s="2">
        <f t="shared" si="37"/>
        <v>0</v>
      </c>
      <c r="I311" s="2">
        <f t="shared" si="38"/>
        <v>0</v>
      </c>
      <c r="J311" s="2">
        <f xml:space="preserve"> Table1[[#This Row],[Diesel (R)]]</f>
        <v>0</v>
      </c>
      <c r="K311" t="str">
        <f xml:space="preserve"> Table1[[#This Row],[Diesel (R) Budget]]</f>
        <v>19.47</v>
      </c>
      <c r="M311" t="s">
        <v>559</v>
      </c>
    </row>
    <row r="312" spans="3:13" x14ac:dyDescent="0.3">
      <c r="C312" s="2">
        <f t="shared" si="34"/>
        <v>0</v>
      </c>
      <c r="E312" s="2">
        <f t="shared" si="35"/>
        <v>0</v>
      </c>
      <c r="F312" s="2">
        <f t="shared" si="36"/>
        <v>0</v>
      </c>
      <c r="G312" s="2">
        <f t="shared" si="37"/>
        <v>0</v>
      </c>
      <c r="I312" s="2">
        <f t="shared" si="38"/>
        <v>0</v>
      </c>
      <c r="J312" s="2">
        <f xml:space="preserve"> Table1[[#This Row],[Diesel (R)]]</f>
        <v>0</v>
      </c>
      <c r="K312" t="str">
        <f xml:space="preserve"> Table1[[#This Row],[Diesel (R) Budget]]</f>
        <v>23.26</v>
      </c>
      <c r="M312" t="s">
        <v>528</v>
      </c>
    </row>
    <row r="313" spans="3:13" x14ac:dyDescent="0.3">
      <c r="C313" s="2">
        <f t="shared" si="34"/>
        <v>0</v>
      </c>
      <c r="E313" s="2">
        <f t="shared" si="35"/>
        <v>0</v>
      </c>
      <c r="F313" s="2">
        <f t="shared" si="36"/>
        <v>0</v>
      </c>
      <c r="G313" s="2">
        <f t="shared" si="37"/>
        <v>0</v>
      </c>
      <c r="I313" s="2">
        <f t="shared" si="38"/>
        <v>0</v>
      </c>
      <c r="J313" s="2">
        <f xml:space="preserve"> Table1[[#This Row],[Diesel (R)]]</f>
        <v>0</v>
      </c>
      <c r="K313" t="str">
        <f xml:space="preserve"> Table1[[#This Row],[Diesel (R) Budget]]</f>
        <v>21.82</v>
      </c>
      <c r="M313" t="s">
        <v>309</v>
      </c>
    </row>
    <row r="314" spans="3:13" x14ac:dyDescent="0.3">
      <c r="C314" s="2">
        <f t="shared" si="34"/>
        <v>0</v>
      </c>
      <c r="E314" s="2">
        <f t="shared" si="35"/>
        <v>0</v>
      </c>
      <c r="F314" s="2">
        <f t="shared" si="36"/>
        <v>0</v>
      </c>
      <c r="G314" s="2">
        <f t="shared" si="37"/>
        <v>0</v>
      </c>
      <c r="I314" s="2">
        <f t="shared" si="38"/>
        <v>0</v>
      </c>
      <c r="J314" s="2">
        <f xml:space="preserve"> Table1[[#This Row],[Diesel (R)]]</f>
        <v>0</v>
      </c>
      <c r="K314" t="str">
        <f xml:space="preserve"> Table1[[#This Row],[Diesel (R) Budget]]</f>
        <v>18.88</v>
      </c>
      <c r="M314" t="s">
        <v>560</v>
      </c>
    </row>
    <row r="315" spans="3:13" x14ac:dyDescent="0.3">
      <c r="C315" s="2">
        <f t="shared" si="34"/>
        <v>0</v>
      </c>
      <c r="E315" s="2">
        <f t="shared" si="35"/>
        <v>0</v>
      </c>
      <c r="F315" s="2">
        <f t="shared" si="36"/>
        <v>0</v>
      </c>
      <c r="G315" s="2">
        <f t="shared" si="37"/>
        <v>0</v>
      </c>
      <c r="I315" s="2">
        <f t="shared" si="38"/>
        <v>0</v>
      </c>
      <c r="J315" s="2">
        <f xml:space="preserve"> Table1[[#This Row],[Diesel (R)]]</f>
        <v>0</v>
      </c>
      <c r="K315" t="str">
        <f xml:space="preserve"> Table1[[#This Row],[Diesel (R) Budget]]</f>
        <v>24.13</v>
      </c>
      <c r="M315" t="s">
        <v>561</v>
      </c>
    </row>
    <row r="316" spans="3:13" x14ac:dyDescent="0.3">
      <c r="C316" s="2">
        <f t="shared" si="34"/>
        <v>0</v>
      </c>
      <c r="E316" s="2">
        <f t="shared" si="35"/>
        <v>0</v>
      </c>
      <c r="F316" s="2">
        <f t="shared" si="36"/>
        <v>0</v>
      </c>
      <c r="G316" s="2">
        <f t="shared" si="37"/>
        <v>0</v>
      </c>
      <c r="I316" s="2">
        <f t="shared" si="38"/>
        <v>0</v>
      </c>
      <c r="J316" s="2">
        <f xml:space="preserve"> Table1[[#This Row],[Diesel (R)]]</f>
        <v>0</v>
      </c>
      <c r="K316" t="str">
        <f xml:space="preserve"> Table1[[#This Row],[Diesel (R) Budget]]</f>
        <v>19.57</v>
      </c>
      <c r="M316" t="s">
        <v>413</v>
      </c>
    </row>
    <row r="317" spans="3:13" x14ac:dyDescent="0.3">
      <c r="C317" s="2">
        <f t="shared" si="34"/>
        <v>0</v>
      </c>
      <c r="E317" s="2">
        <f t="shared" si="35"/>
        <v>0</v>
      </c>
      <c r="F317" s="2">
        <f t="shared" si="36"/>
        <v>0</v>
      </c>
      <c r="G317" s="2">
        <f t="shared" si="37"/>
        <v>0</v>
      </c>
      <c r="I317" s="2">
        <f t="shared" si="38"/>
        <v>0</v>
      </c>
      <c r="J317" s="2">
        <f xml:space="preserve"> Table1[[#This Row],[Diesel (R)]]</f>
        <v>0</v>
      </c>
      <c r="K317" t="str">
        <f xml:space="preserve"> Table1[[#This Row],[Diesel (R) Budget]]</f>
        <v>22.61</v>
      </c>
      <c r="M317" t="s">
        <v>562</v>
      </c>
    </row>
    <row r="318" spans="3:13" x14ac:dyDescent="0.3">
      <c r="C318" s="2">
        <f t="shared" si="34"/>
        <v>0</v>
      </c>
      <c r="E318" s="2">
        <f t="shared" si="35"/>
        <v>0</v>
      </c>
      <c r="F318" s="2">
        <f t="shared" si="36"/>
        <v>0</v>
      </c>
      <c r="G318" s="2">
        <f t="shared" si="37"/>
        <v>0</v>
      </c>
      <c r="I318" s="2">
        <f t="shared" si="38"/>
        <v>0</v>
      </c>
      <c r="J318" s="2">
        <f xml:space="preserve"> Table1[[#This Row],[Diesel (R)]]</f>
        <v>0</v>
      </c>
      <c r="K318" t="str">
        <f xml:space="preserve"> Table1[[#This Row],[Diesel (R) Budget]]</f>
        <v>21.49</v>
      </c>
      <c r="M318" t="s">
        <v>380</v>
      </c>
    </row>
    <row r="319" spans="3:13" x14ac:dyDescent="0.3">
      <c r="C319" s="2">
        <f t="shared" si="34"/>
        <v>0</v>
      </c>
      <c r="E319" s="2">
        <f t="shared" si="35"/>
        <v>0</v>
      </c>
      <c r="F319" s="2">
        <f t="shared" si="36"/>
        <v>0</v>
      </c>
      <c r="G319" s="2">
        <f t="shared" si="37"/>
        <v>0</v>
      </c>
      <c r="I319" s="2">
        <f t="shared" si="38"/>
        <v>0</v>
      </c>
      <c r="J319" s="2">
        <f xml:space="preserve"> Table1[[#This Row],[Diesel (R)]]</f>
        <v>0</v>
      </c>
      <c r="K319" t="str">
        <f xml:space="preserve"> Table1[[#This Row],[Diesel (R) Budget]]</f>
        <v>23.31</v>
      </c>
      <c r="M319" t="s">
        <v>536</v>
      </c>
    </row>
    <row r="320" spans="3:13" x14ac:dyDescent="0.3">
      <c r="C320" s="2">
        <f t="shared" si="34"/>
        <v>0</v>
      </c>
      <c r="E320" s="2">
        <f t="shared" si="35"/>
        <v>0</v>
      </c>
      <c r="F320" s="2">
        <f t="shared" si="36"/>
        <v>0</v>
      </c>
      <c r="G320" s="2">
        <f t="shared" si="37"/>
        <v>0</v>
      </c>
      <c r="I320" s="2">
        <f t="shared" si="38"/>
        <v>0</v>
      </c>
      <c r="J320" s="2">
        <f xml:space="preserve"> Table1[[#This Row],[Diesel (R)]]</f>
        <v>0</v>
      </c>
      <c r="K320" t="str">
        <f xml:space="preserve"> Table1[[#This Row],[Diesel (R) Budget]]</f>
        <v>17.71</v>
      </c>
      <c r="M320" t="s">
        <v>563</v>
      </c>
    </row>
    <row r="321" spans="3:13" x14ac:dyDescent="0.3">
      <c r="C321" s="2">
        <f t="shared" si="34"/>
        <v>0</v>
      </c>
      <c r="E321" s="2">
        <f t="shared" si="35"/>
        <v>0</v>
      </c>
      <c r="F321" s="2">
        <f t="shared" si="36"/>
        <v>0</v>
      </c>
      <c r="G321" s="2">
        <f t="shared" si="37"/>
        <v>0</v>
      </c>
      <c r="I321" s="2">
        <f t="shared" si="38"/>
        <v>0</v>
      </c>
      <c r="J321" s="2">
        <f xml:space="preserve"> Table1[[#This Row],[Diesel (R)]]</f>
        <v>0</v>
      </c>
      <c r="K321" t="str">
        <f xml:space="preserve"> Table1[[#This Row],[Diesel (R) Budget]]</f>
        <v>24.49</v>
      </c>
      <c r="M321" t="s">
        <v>391</v>
      </c>
    </row>
    <row r="322" spans="3:13" x14ac:dyDescent="0.3">
      <c r="C322" s="2">
        <f t="shared" si="34"/>
        <v>0</v>
      </c>
      <c r="E322" s="2">
        <f t="shared" si="35"/>
        <v>0</v>
      </c>
      <c r="F322" s="2">
        <f t="shared" si="36"/>
        <v>0</v>
      </c>
      <c r="G322" s="2">
        <f t="shared" si="37"/>
        <v>0</v>
      </c>
      <c r="I322" s="2">
        <f t="shared" si="38"/>
        <v>0</v>
      </c>
      <c r="J322" s="2">
        <f xml:space="preserve"> Table1[[#This Row],[Diesel (R)]]</f>
        <v>0</v>
      </c>
      <c r="K322" t="str">
        <f xml:space="preserve"> Table1[[#This Row],[Diesel (R) Budget]]</f>
        <v>20.32</v>
      </c>
      <c r="M322" t="s">
        <v>364</v>
      </c>
    </row>
    <row r="323" spans="3:13" x14ac:dyDescent="0.3">
      <c r="C323" s="2">
        <f t="shared" si="34"/>
        <v>0</v>
      </c>
      <c r="E323" s="2">
        <f t="shared" si="35"/>
        <v>0</v>
      </c>
      <c r="F323" s="2">
        <f t="shared" si="36"/>
        <v>0</v>
      </c>
      <c r="G323" s="2">
        <f t="shared" si="37"/>
        <v>0</v>
      </c>
      <c r="I323" s="2">
        <f t="shared" si="38"/>
        <v>0</v>
      </c>
      <c r="J323" s="2">
        <f xml:space="preserve"> Table1[[#This Row],[Diesel (R)]]</f>
        <v>0</v>
      </c>
      <c r="K323" t="str">
        <f xml:space="preserve"> Table1[[#This Row],[Diesel (R) Budget]]</f>
        <v>19.12</v>
      </c>
      <c r="M323" t="s">
        <v>564</v>
      </c>
    </row>
    <row r="324" spans="3:13" x14ac:dyDescent="0.3">
      <c r="C324" s="2">
        <f t="shared" si="34"/>
        <v>0</v>
      </c>
      <c r="E324" s="2">
        <f t="shared" si="35"/>
        <v>0</v>
      </c>
      <c r="F324" s="2">
        <f t="shared" si="36"/>
        <v>0</v>
      </c>
      <c r="G324" s="2">
        <f t="shared" si="37"/>
        <v>0</v>
      </c>
      <c r="I324" s="2">
        <f t="shared" si="38"/>
        <v>0</v>
      </c>
      <c r="J324" s="2">
        <f xml:space="preserve"> Table1[[#This Row],[Diesel (R)]]</f>
        <v>0</v>
      </c>
      <c r="K324" t="str">
        <f xml:space="preserve"> Table1[[#This Row],[Diesel (R) Budget]]</f>
        <v>23.75</v>
      </c>
      <c r="M324" t="s">
        <v>565</v>
      </c>
    </row>
    <row r="325" spans="3:13" x14ac:dyDescent="0.3">
      <c r="C325" s="2">
        <f t="shared" si="34"/>
        <v>0</v>
      </c>
      <c r="E325" s="2">
        <f t="shared" si="35"/>
        <v>0</v>
      </c>
      <c r="F325" s="2">
        <f t="shared" si="36"/>
        <v>0</v>
      </c>
      <c r="G325" s="2">
        <f t="shared" si="37"/>
        <v>0</v>
      </c>
      <c r="I325" s="2">
        <f t="shared" si="38"/>
        <v>0</v>
      </c>
      <c r="J325" s="2">
        <f xml:space="preserve"> Table1[[#This Row],[Diesel (R)]]</f>
        <v>0</v>
      </c>
      <c r="K325" t="str">
        <f xml:space="preserve"> Table1[[#This Row],[Diesel (R) Budget]]</f>
        <v>21.39</v>
      </c>
      <c r="M325" t="s">
        <v>566</v>
      </c>
    </row>
    <row r="326" spans="3:13" x14ac:dyDescent="0.3">
      <c r="C326" s="2">
        <f t="shared" si="34"/>
        <v>0</v>
      </c>
      <c r="E326" s="2">
        <f t="shared" si="35"/>
        <v>0</v>
      </c>
      <c r="F326" s="2">
        <f t="shared" si="36"/>
        <v>0</v>
      </c>
      <c r="G326" s="2">
        <f t="shared" si="37"/>
        <v>0</v>
      </c>
      <c r="I326" s="2">
        <f t="shared" si="38"/>
        <v>0</v>
      </c>
      <c r="J326" s="2">
        <f xml:space="preserve"> Table1[[#This Row],[Diesel (R)]]</f>
        <v>0</v>
      </c>
      <c r="K326" t="str">
        <f xml:space="preserve"> Table1[[#This Row],[Diesel (R) Budget]]</f>
        <v>18.55</v>
      </c>
      <c r="M326" t="s">
        <v>567</v>
      </c>
    </row>
    <row r="327" spans="3:13" x14ac:dyDescent="0.3">
      <c r="C327" s="2">
        <f t="shared" si="34"/>
        <v>0</v>
      </c>
      <c r="E327" s="2">
        <f t="shared" si="35"/>
        <v>0</v>
      </c>
      <c r="F327" s="2">
        <f t="shared" si="36"/>
        <v>0</v>
      </c>
      <c r="G327" s="2">
        <f t="shared" si="37"/>
        <v>0</v>
      </c>
      <c r="I327" s="2">
        <f t="shared" si="38"/>
        <v>0</v>
      </c>
      <c r="J327" s="2">
        <f xml:space="preserve"> Table1[[#This Row],[Diesel (R)]]</f>
        <v>0</v>
      </c>
      <c r="K327" t="str">
        <f xml:space="preserve"> Table1[[#This Row],[Diesel (R) Budget]]</f>
        <v>24.27</v>
      </c>
      <c r="M327" t="s">
        <v>344</v>
      </c>
    </row>
    <row r="328" spans="3:13" x14ac:dyDescent="0.3">
      <c r="C328" s="2">
        <f t="shared" si="34"/>
        <v>0</v>
      </c>
      <c r="E328" s="2">
        <f t="shared" si="35"/>
        <v>0</v>
      </c>
      <c r="F328" s="2">
        <f t="shared" si="36"/>
        <v>0</v>
      </c>
      <c r="G328" s="2">
        <f t="shared" si="37"/>
        <v>0</v>
      </c>
      <c r="I328" s="2">
        <f t="shared" si="38"/>
        <v>0</v>
      </c>
      <c r="J328" s="2">
        <f xml:space="preserve"> Table1[[#This Row],[Diesel (R)]]</f>
        <v>0</v>
      </c>
      <c r="K328" t="str">
        <f xml:space="preserve"> Table1[[#This Row],[Diesel (R) Budget]]</f>
        <v>19.46</v>
      </c>
      <c r="M328" t="s">
        <v>318</v>
      </c>
    </row>
    <row r="329" spans="3:13" x14ac:dyDescent="0.3">
      <c r="C329" s="2">
        <f t="shared" si="34"/>
        <v>0</v>
      </c>
      <c r="E329" s="2">
        <f t="shared" si="35"/>
        <v>0</v>
      </c>
      <c r="F329" s="2">
        <f t="shared" si="36"/>
        <v>0</v>
      </c>
      <c r="G329" s="2">
        <f t="shared" si="37"/>
        <v>0</v>
      </c>
      <c r="I329" s="2">
        <f t="shared" si="38"/>
        <v>0</v>
      </c>
      <c r="J329" s="2">
        <f xml:space="preserve"> Table1[[#This Row],[Diesel (R)]]</f>
        <v>0</v>
      </c>
      <c r="K329" t="str">
        <f xml:space="preserve"> Table1[[#This Row],[Diesel (R) Budget]]</f>
        <v>22.56</v>
      </c>
      <c r="M329" t="s">
        <v>568</v>
      </c>
    </row>
    <row r="330" spans="3:13" x14ac:dyDescent="0.3">
      <c r="C330" s="2">
        <f t="shared" si="34"/>
        <v>0</v>
      </c>
      <c r="E330" s="2">
        <f t="shared" si="35"/>
        <v>0</v>
      </c>
      <c r="F330" s="2">
        <f t="shared" si="36"/>
        <v>0</v>
      </c>
      <c r="G330" s="2">
        <f t="shared" si="37"/>
        <v>0</v>
      </c>
      <c r="I330" s="2">
        <f t="shared" si="38"/>
        <v>0</v>
      </c>
      <c r="J330" s="2">
        <f xml:space="preserve"> Table1[[#This Row],[Diesel (R)]]</f>
        <v>0</v>
      </c>
      <c r="K330" t="str">
        <f xml:space="preserve"> Table1[[#This Row],[Diesel (R) Budget]]</f>
        <v>21.29</v>
      </c>
      <c r="M330" t="s">
        <v>569</v>
      </c>
    </row>
    <row r="331" spans="3:13" x14ac:dyDescent="0.3">
      <c r="C331" s="2">
        <f t="shared" si="34"/>
        <v>0</v>
      </c>
      <c r="E331" s="2">
        <f t="shared" si="35"/>
        <v>0</v>
      </c>
      <c r="F331" s="2">
        <f t="shared" si="36"/>
        <v>0</v>
      </c>
      <c r="G331" s="2">
        <f t="shared" si="37"/>
        <v>0</v>
      </c>
      <c r="I331" s="2">
        <f t="shared" si="38"/>
        <v>0</v>
      </c>
      <c r="J331" s="2">
        <f xml:space="preserve"> Table1[[#This Row],[Diesel (R)]]</f>
        <v>0</v>
      </c>
      <c r="K331" t="str">
        <f xml:space="preserve"> Table1[[#This Row],[Diesel (R) Budget]]</f>
        <v>23.68</v>
      </c>
      <c r="M331" t="s">
        <v>366</v>
      </c>
    </row>
    <row r="332" spans="3:13" x14ac:dyDescent="0.3">
      <c r="C332" s="2">
        <f t="shared" si="34"/>
        <v>0</v>
      </c>
      <c r="E332" s="2">
        <f t="shared" si="35"/>
        <v>0</v>
      </c>
      <c r="F332" s="2">
        <f t="shared" si="36"/>
        <v>0</v>
      </c>
      <c r="G332" s="2">
        <f t="shared" si="37"/>
        <v>0</v>
      </c>
      <c r="I332" s="2">
        <f t="shared" si="38"/>
        <v>0</v>
      </c>
      <c r="J332" s="2">
        <f xml:space="preserve"> Table1[[#This Row],[Diesel (R)]]</f>
        <v>0</v>
      </c>
      <c r="K332" t="str">
        <f xml:space="preserve"> Table1[[#This Row],[Diesel (R) Budget]]</f>
        <v>17.99</v>
      </c>
      <c r="M332" t="s">
        <v>326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Mapheeha Chauke</dc:creator>
  <cp:lastModifiedBy>Mapheeha Chauke</cp:lastModifiedBy>
  <dcterms:created xsi:type="dcterms:W3CDTF">2025-11-17T18:25:17Z</dcterms:created>
  <dcterms:modified xsi:type="dcterms:W3CDTF">2025-11-19T08:24:08Z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